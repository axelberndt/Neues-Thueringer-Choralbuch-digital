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b\Sciebo\TISMIR NTCB\figures\"/>
    </mc:Choice>
  </mc:AlternateContent>
  <xr:revisionPtr revIDLastSave="0" documentId="13_ncr:1_{6B120A01-C0E7-448E-B6A9-0752141648CD}" xr6:coauthVersionLast="47" xr6:coauthVersionMax="47" xr10:uidLastSave="{00000000-0000-0000-0000-000000000000}"/>
  <bookViews>
    <workbookView xWindow="-120" yWindow="-120" windowWidth="38640" windowHeight="21120" activeTab="1" xr2:uid="{553881A2-DFB8-4FB4-8655-005BE24C585B}"/>
  </bookViews>
  <sheets>
    <sheet name="Meter Signatures" sheetId="5" r:id="rId1"/>
    <sheet name="Pitch Histograms" sheetId="1" r:id="rId2"/>
    <sheet name="Voice Distances" sheetId="2" r:id="rId3"/>
    <sheet name="Melodic Intervals" sheetId="3" r:id="rId4"/>
    <sheet name="Chord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5" l="1" a="1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D83" i="4"/>
  <c r="B83" i="4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L21" i="3"/>
  <c r="K21" i="3"/>
  <c r="J21" i="3"/>
  <c r="I21" i="3"/>
  <c r="L9" i="3"/>
  <c r="L29" i="3" s="1"/>
  <c r="L36" i="3" s="1" a="1"/>
  <c r="K9" i="3"/>
  <c r="K29" i="3" s="1"/>
  <c r="K36" i="3" s="1" a="1"/>
  <c r="J9" i="3"/>
  <c r="J29" i="3" s="1"/>
  <c r="J36" i="3" s="1" a="1"/>
  <c r="I9" i="3"/>
  <c r="I29" i="3" s="1"/>
  <c r="I36" i="3" s="1" a="1"/>
  <c r="E132" i="1"/>
  <c r="J4" i="1" s="1" a="1"/>
  <c r="D132" i="1"/>
  <c r="I3" i="1" s="1" a="1"/>
  <c r="C132" i="1"/>
  <c r="H2" i="1" s="1" a="1"/>
  <c r="B132" i="1"/>
  <c r="G2" i="1" s="1" a="1"/>
  <c r="L42" i="2"/>
  <c r="L47" i="2" s="1" a="1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L40" i="2"/>
  <c r="L39" i="2"/>
  <c r="L38" i="2"/>
  <c r="L37" i="2"/>
  <c r="L36" i="2"/>
  <c r="L35" i="2"/>
  <c r="L34" i="2"/>
  <c r="L33" i="2"/>
  <c r="L32" i="2"/>
  <c r="L31" i="2"/>
  <c r="L30" i="2"/>
  <c r="I29" i="2"/>
  <c r="J29" i="2"/>
  <c r="K29" i="2"/>
  <c r="L29" i="2"/>
  <c r="I28" i="2"/>
  <c r="J28" i="2"/>
  <c r="K28" i="2"/>
  <c r="L28" i="2"/>
  <c r="L27" i="2"/>
  <c r="L26" i="2"/>
  <c r="I25" i="2"/>
  <c r="J25" i="2"/>
  <c r="K25" i="2"/>
  <c r="L25" i="2"/>
  <c r="L24" i="2"/>
  <c r="L23" i="2"/>
  <c r="I22" i="2"/>
  <c r="J22" i="2"/>
  <c r="K22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4" i="2"/>
  <c r="L3" i="2"/>
  <c r="K31" i="2"/>
  <c r="J31" i="2"/>
  <c r="I31" i="2"/>
  <c r="K27" i="2"/>
  <c r="J27" i="2"/>
  <c r="I27" i="2"/>
  <c r="K26" i="2"/>
  <c r="J26" i="2"/>
  <c r="I26" i="2"/>
  <c r="K24" i="2"/>
  <c r="J24" i="2"/>
  <c r="I24" i="2"/>
  <c r="K23" i="2"/>
  <c r="J23" i="2"/>
  <c r="I23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4" i="2"/>
  <c r="J4" i="2"/>
  <c r="I4" i="2"/>
  <c r="K3" i="2"/>
  <c r="J3" i="2"/>
  <c r="I3" i="2"/>
  <c r="J42" i="2" l="1"/>
  <c r="J47" i="2" s="1" a="1"/>
  <c r="I42" i="2"/>
  <c r="I47" i="2" s="1" a="1"/>
  <c r="K42" i="2"/>
  <c r="K47" i="2" s="1" a="1"/>
  <c r="E78" i="4"/>
  <c r="E9" i="4"/>
  <c r="E6" i="4"/>
  <c r="E4" i="4"/>
  <c r="E80" i="4"/>
  <c r="E77" i="4"/>
  <c r="E75" i="4"/>
  <c r="E71" i="4"/>
  <c r="E68" i="4"/>
  <c r="E65" i="4"/>
  <c r="E63" i="4"/>
  <c r="E60" i="4"/>
  <c r="E57" i="4"/>
  <c r="E55" i="4"/>
  <c r="E52" i="4"/>
  <c r="E49" i="4"/>
  <c r="E47" i="4"/>
  <c r="E44" i="4"/>
  <c r="E21" i="4"/>
  <c r="E41" i="4"/>
  <c r="E39" i="4"/>
  <c r="E36" i="4"/>
  <c r="E32" i="4"/>
  <c r="E27" i="4"/>
  <c r="E23" i="4"/>
  <c r="E17" i="4"/>
  <c r="E15" i="4"/>
  <c r="E13" i="4"/>
  <c r="E11" i="4"/>
  <c r="E10" i="4"/>
  <c r="E8" i="4"/>
  <c r="E7" i="4"/>
  <c r="E5" i="4"/>
  <c r="E3" i="4"/>
  <c r="E81" i="4"/>
  <c r="E79" i="4"/>
  <c r="E20" i="4"/>
  <c r="E76" i="4"/>
  <c r="E74" i="4"/>
  <c r="E73" i="4"/>
  <c r="E72" i="4"/>
  <c r="E70" i="4"/>
  <c r="E69" i="4"/>
  <c r="E67" i="4"/>
  <c r="E66" i="4"/>
  <c r="E64" i="4"/>
  <c r="E62" i="4"/>
  <c r="E61" i="4"/>
  <c r="E59" i="4"/>
  <c r="E58" i="4"/>
  <c r="E56" i="4"/>
  <c r="E54" i="4"/>
  <c r="E53" i="4"/>
  <c r="E51" i="4"/>
  <c r="E50" i="4"/>
  <c r="E48" i="4"/>
  <c r="E46" i="4"/>
  <c r="E45" i="4"/>
  <c r="E43" i="4"/>
  <c r="E42" i="4"/>
  <c r="E40" i="4"/>
  <c r="E38" i="4"/>
  <c r="E37" i="4"/>
  <c r="E35" i="4"/>
  <c r="E34" i="4"/>
  <c r="E33" i="4"/>
  <c r="E31" i="4"/>
  <c r="E29" i="4"/>
  <c r="E28" i="4"/>
  <c r="E26" i="4"/>
  <c r="E25" i="4"/>
  <c r="E24" i="4"/>
  <c r="E22" i="4"/>
  <c r="E30" i="4"/>
  <c r="E19" i="4"/>
  <c r="E2" i="4"/>
  <c r="E18" i="4"/>
  <c r="E16" i="4"/>
  <c r="E14" i="4"/>
  <c r="E12" i="4"/>
  <c r="C63" i="4"/>
  <c r="C34" i="4"/>
  <c r="C29" i="4"/>
  <c r="C81" i="4"/>
  <c r="C73" i="4"/>
  <c r="C70" i="4"/>
  <c r="C67" i="4"/>
  <c r="C65" i="4"/>
  <c r="C40" i="4"/>
  <c r="C60" i="4"/>
  <c r="C58" i="4"/>
  <c r="C55" i="4"/>
  <c r="C51" i="4"/>
  <c r="C48" i="4"/>
  <c r="C46" i="4"/>
  <c r="C43" i="4"/>
  <c r="C24" i="4"/>
  <c r="C35" i="4"/>
  <c r="C31" i="4"/>
  <c r="C28" i="4"/>
  <c r="C26" i="4"/>
  <c r="C22" i="4"/>
  <c r="C19" i="4"/>
  <c r="C21" i="4"/>
  <c r="C78" i="4"/>
  <c r="C77" i="4"/>
  <c r="C75" i="4"/>
  <c r="C72" i="4"/>
  <c r="C71" i="4"/>
  <c r="C68" i="4"/>
  <c r="C66" i="4"/>
  <c r="C64" i="4"/>
  <c r="C61" i="4"/>
  <c r="C59" i="4"/>
  <c r="C56" i="4"/>
  <c r="C54" i="4"/>
  <c r="C52" i="4"/>
  <c r="C50" i="4"/>
  <c r="C47" i="4"/>
  <c r="C45" i="4"/>
  <c r="C42" i="4"/>
  <c r="C41" i="4"/>
  <c r="C38" i="4"/>
  <c r="C36" i="4"/>
  <c r="C33" i="4"/>
  <c r="C30" i="4"/>
  <c r="C27" i="4"/>
  <c r="C25" i="4"/>
  <c r="C37" i="4"/>
  <c r="C23" i="4"/>
  <c r="C20" i="4"/>
  <c r="C80" i="4"/>
  <c r="C32" i="4"/>
  <c r="C79" i="4"/>
  <c r="C76" i="4"/>
  <c r="C74" i="4"/>
  <c r="C69" i="4"/>
  <c r="C62" i="4"/>
  <c r="C57" i="4"/>
  <c r="C53" i="4"/>
  <c r="C49" i="4"/>
  <c r="C44" i="4"/>
  <c r="C3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<sst xmlns="http://schemas.openxmlformats.org/spreadsheetml/2006/main" count="231" uniqueCount="205">
  <si>
    <t>Interval</t>
  </si>
  <si>
    <t xml:space="preserve"># between voices </t>
  </si>
  <si>
    <t>Soprano/Alto</t>
  </si>
  <si>
    <t>Alto/Tenor</t>
  </si>
  <si>
    <t>Tenor/Bass</t>
  </si>
  <si>
    <t>Soprano/Bass</t>
  </si>
  <si>
    <t>semi=12, diat=7, octave</t>
  </si>
  <si>
    <t>semi=0, diat=0, unison</t>
  </si>
  <si>
    <t>semi=6, diat=4, diminished 5th</t>
  </si>
  <si>
    <t>semi=7, diat=4, perfect 5th</t>
  </si>
  <si>
    <t>semi=2, diat=1, major 2nd</t>
  </si>
  <si>
    <t>semi=14, diat=8, major 9th</t>
  </si>
  <si>
    <t>semi=8, diat=5, minor 6th</t>
  </si>
  <si>
    <t>semi=9, diat=5, major 6th</t>
  </si>
  <si>
    <t>semi=3, diat=2, minor 3rd</t>
  </si>
  <si>
    <t>semi=4, diat=2, major 3rd</t>
  </si>
  <si>
    <t>semi=10, diat=6, minor 7th</t>
  </si>
  <si>
    <t>semi=11, diat=6, major 7th</t>
  </si>
  <si>
    <t>semi=5, diat=3, perfect 4th</t>
  </si>
  <si>
    <t>semi=6, diat=3, augmented 4th</t>
  </si>
  <si>
    <t>semi=1, diat=1, minor 2nd</t>
  </si>
  <si>
    <t>semi=24, diat=14, 2 octaves</t>
  </si>
  <si>
    <t>semi=15, diat=9, oct+minor 3rd</t>
  </si>
  <si>
    <t>semi=17, diat=10, oct+perfect 4th</t>
  </si>
  <si>
    <t>semi=13, diat=8, oct+minor 2nd</t>
  </si>
  <si>
    <t>semi=-3, diat=-2, minor 3rd voice crossing</t>
  </si>
  <si>
    <t>semi=-4, diat=-2, major 3rd voice crossing</t>
  </si>
  <si>
    <t>semi=19, diat=11, oct+perfect 5th</t>
  </si>
  <si>
    <t>semi=20, diat=12, oct+minor 6th</t>
  </si>
  <si>
    <t>semi=16, diat=9, oct+major 3rd</t>
  </si>
  <si>
    <t>Semitone Interval</t>
  </si>
  <si>
    <t>semi=29, diat=17</t>
  </si>
  <si>
    <t>semi=18, diat=11, oct+diminished 5th</t>
  </si>
  <si>
    <t>semi=15, diat=8</t>
  </si>
  <si>
    <t>semi=32, diat=19</t>
  </si>
  <si>
    <t>semi=33, diat=19</t>
  </si>
  <si>
    <t>semi=27, diat=16</t>
  </si>
  <si>
    <t>semi=28, diat=16</t>
  </si>
  <si>
    <t>semi=21, diat=13</t>
  </si>
  <si>
    <t>semi=22, diat=13</t>
  </si>
  <si>
    <t>semi=23, diat=13</t>
  </si>
  <si>
    <t>semi=18, diat=10</t>
  </si>
  <si>
    <t>semi=30, diat=18</t>
  </si>
  <si>
    <t>semi=31, diat=18</t>
  </si>
  <si>
    <t>semi=25, diat=15</t>
  </si>
  <si>
    <t>semi=26, diat=15</t>
  </si>
  <si>
    <t>semi=21, diat=12</t>
  </si>
  <si>
    <t>semi=22, diat=12</t>
  </si>
  <si>
    <t>Sum</t>
  </si>
  <si>
    <t xml:space="preserve">% between voices </t>
  </si>
  <si>
    <t>relative frequency &gt;&gt;</t>
  </si>
  <si>
    <t>&lt;&lt; absolute frequency</t>
  </si>
  <si>
    <t>Soprano</t>
  </si>
  <si>
    <t>Alto</t>
  </si>
  <si>
    <t>Tenor</t>
  </si>
  <si>
    <t>Bass</t>
  </si>
  <si>
    <t>Melodic Interval</t>
  </si>
  <si>
    <t>Quantity</t>
  </si>
  <si>
    <t>semi=-12, diat=-7</t>
  </si>
  <si>
    <t>semi=-10, diat=-6</t>
  </si>
  <si>
    <t>semi=-9, diat=-5</t>
  </si>
  <si>
    <t>semi=-8, diat=-5</t>
  </si>
  <si>
    <t>semi=-7, diat=-4</t>
  </si>
  <si>
    <t>semi=-5, diat=-3</t>
  </si>
  <si>
    <t>semi=-4, diat=-2</t>
  </si>
  <si>
    <t>semi=-3, diat=-2</t>
  </si>
  <si>
    <t>semi=-2, diat=-1</t>
  </si>
  <si>
    <t>semi=-1, diat=-1</t>
  </si>
  <si>
    <t>semi=0, diat=0</t>
  </si>
  <si>
    <t>semi=1, diat=1</t>
  </si>
  <si>
    <t>semi=2, diat=1</t>
  </si>
  <si>
    <t>semi=3, diat=2</t>
  </si>
  <si>
    <t>semi=4, diat=2</t>
  </si>
  <si>
    <t>semi=5, diat=3</t>
  </si>
  <si>
    <t>semi=6, diat=4</t>
  </si>
  <si>
    <t>semi=7, diat=4</t>
  </si>
  <si>
    <t>semi=8, diat=5</t>
  </si>
  <si>
    <t>semi=9, diat=5</t>
  </si>
  <si>
    <t>semi=12, diat=7</t>
  </si>
  <si>
    <t>semi=-6, diat=-3</t>
  </si>
  <si>
    <t>semi=6, diat=3</t>
  </si>
  <si>
    <t>semi=-6, diat=-4</t>
  </si>
  <si>
    <t>Melodic Interval in semitones</t>
  </si>
  <si>
    <t>Absolute Quantity</t>
  </si>
  <si>
    <t>Relative Quantity within Voice</t>
  </si>
  <si>
    <t>soprano</t>
  </si>
  <si>
    <t>MIDI pitch</t>
  </si>
  <si>
    <t>alto</t>
  </si>
  <si>
    <t>tenor</t>
  </si>
  <si>
    <t>bass</t>
  </si>
  <si>
    <t>absolute count</t>
  </si>
  <si>
    <t>count with unaccentuated chords 0.5</t>
  </si>
  <si>
    <t>Chord (in MEI inth format)</t>
  </si>
  <si>
    <t>Meter signature</t>
  </si>
  <si>
    <t>2.0/2</t>
  </si>
  <si>
    <t>2.0/4</t>
  </si>
  <si>
    <t>1.0/2</t>
  </si>
  <si>
    <t>1.0/4</t>
  </si>
  <si>
    <t>10.0/4</t>
  </si>
  <si>
    <t>9.0/4</t>
  </si>
  <si>
    <t>12.0/4</t>
  </si>
  <si>
    <t>11.0/4</t>
  </si>
  <si>
    <t>7.0/4</t>
  </si>
  <si>
    <t>8.0/2</t>
  </si>
  <si>
    <t>0.5/2</t>
  </si>
  <si>
    <t>0.5/4</t>
  </si>
  <si>
    <t>8.0/4</t>
  </si>
  <si>
    <t>5.0/4</t>
  </si>
  <si>
    <t>6.0/4</t>
  </si>
  <si>
    <t>5.0/2</t>
  </si>
  <si>
    <t>4.0/2</t>
  </si>
  <si>
    <t>4.0/4</t>
  </si>
  <si>
    <t>3.0/2</t>
  </si>
  <si>
    <t>3.0/4</t>
  </si>
  <si>
    <t>1.5/2</t>
  </si>
  <si>
    <t>1.5/4</t>
  </si>
  <si>
    <t>3.5/4</t>
  </si>
  <si>
    <t>3.5/2</t>
  </si>
  <si>
    <t>2.5/4</t>
  </si>
  <si>
    <t>2.5/2</t>
  </si>
  <si>
    <t>measure count</t>
  </si>
  <si>
    <t>P1 M2 P4</t>
  </si>
  <si>
    <t>P1 P4 P5 m7</t>
  </si>
  <si>
    <t>P1 M3 m6</t>
  </si>
  <si>
    <t>P1 M3 M6 m7</t>
  </si>
  <si>
    <t>P1 M2 M3 P5</t>
  </si>
  <si>
    <t>P1 M3 A4 M6</t>
  </si>
  <si>
    <t>P1 A4 P5</t>
  </si>
  <si>
    <t>P1 M2</t>
  </si>
  <si>
    <t>P1 m3 d5</t>
  </si>
  <si>
    <t>P1 m3 P4 M6</t>
  </si>
  <si>
    <t>P1 M2 P5 m7</t>
  </si>
  <si>
    <t>P1 M2 P4 m7</t>
  </si>
  <si>
    <t>P1 M3 A6</t>
  </si>
  <si>
    <t>P1 P4 M6 M7</t>
  </si>
  <si>
    <t>P1 M3 P4 m7</t>
  </si>
  <si>
    <t>P1 M3 m7</t>
  </si>
  <si>
    <t>P1 M2 m3 m7</t>
  </si>
  <si>
    <t>P1 M2 M6 M7</t>
  </si>
  <si>
    <t>P1 M2 M3</t>
  </si>
  <si>
    <t>P1 P4</t>
  </si>
  <si>
    <t>P1 m2 d5</t>
  </si>
  <si>
    <t>P1 M2 P4 M6</t>
  </si>
  <si>
    <t>P1 P4 m6</t>
  </si>
  <si>
    <t>P1 m3 P4</t>
  </si>
  <si>
    <t>P1 M6</t>
  </si>
  <si>
    <t>P1 m3 P5 M6</t>
  </si>
  <si>
    <t>P1 m3 P5 m6</t>
  </si>
  <si>
    <t>P1 M2 P4 m6</t>
  </si>
  <si>
    <t>P1 m2 P4 m7</t>
  </si>
  <si>
    <t>P1 A2 A4 M7</t>
  </si>
  <si>
    <t>P1 M2 P4 M7</t>
  </si>
  <si>
    <t>P1 m2 m3 m7</t>
  </si>
  <si>
    <t>P1 M3 M7</t>
  </si>
  <si>
    <t>P1 P4 M6 m7</t>
  </si>
  <si>
    <t>P1 m2 d5 m7</t>
  </si>
  <si>
    <t>P1 m3 m6 m7</t>
  </si>
  <si>
    <t>P1 M2 M3 m7</t>
  </si>
  <si>
    <t>P1 m2 P4</t>
  </si>
  <si>
    <t>P1 A4 M6</t>
  </si>
  <si>
    <t>P1 m6</t>
  </si>
  <si>
    <t>P1 M3 P4 M6</t>
  </si>
  <si>
    <t>P1 m3 d5 m7</t>
  </si>
  <si>
    <t>P1 P4 P5 M6</t>
  </si>
  <si>
    <t>P1 m3 P4 P5</t>
  </si>
  <si>
    <t>P1 m2 m3 P4</t>
  </si>
  <si>
    <t>P1 M2 m3 P5</t>
  </si>
  <si>
    <t>P1</t>
  </si>
  <si>
    <t>P1 m2 P4 m6</t>
  </si>
  <si>
    <t>P1 M2 P4 P5</t>
  </si>
  <si>
    <t>P1 m3 d5 d7</t>
  </si>
  <si>
    <t>P1 P5 m7</t>
  </si>
  <si>
    <t>P1 M2 A4</t>
  </si>
  <si>
    <t>P1 M3 P4</t>
  </si>
  <si>
    <t>P1 m7</t>
  </si>
  <si>
    <t>P1 M2 A4 M6</t>
  </si>
  <si>
    <t>P1 m3 m7</t>
  </si>
  <si>
    <t>P1 P4 m7</t>
  </si>
  <si>
    <t>P1 P5 M6</t>
  </si>
  <si>
    <t>P1 m3 P4 m6</t>
  </si>
  <si>
    <t>P1 M3 M6 M7</t>
  </si>
  <si>
    <t>P1 M3 P4 P5</t>
  </si>
  <si>
    <t>P1 d5 m6 m7</t>
  </si>
  <si>
    <t>P1 m3 P4 m7</t>
  </si>
  <si>
    <t>relative count</t>
  </si>
  <si>
    <t>relative count with 0.5 weighting of unaccentuated chords</t>
  </si>
  <si>
    <t>differences of absolute counts</t>
  </si>
  <si>
    <t>P1
M3
P5</t>
  </si>
  <si>
    <t>P1
m3
P5</t>
  </si>
  <si>
    <t>P1
m3
m6</t>
  </si>
  <si>
    <t>P1
P4
P5</t>
  </si>
  <si>
    <t>P1
M3
M6</t>
  </si>
  <si>
    <t>P1
M3</t>
  </si>
  <si>
    <t>P1
m3
M6</t>
  </si>
  <si>
    <t>P1
m3</t>
  </si>
  <si>
    <t>P1
M2
P5
M7</t>
  </si>
  <si>
    <t>P1
M3
P5
M6</t>
  </si>
  <si>
    <t>P1
m3
P5
m7</t>
  </si>
  <si>
    <t>P1
M3
P5
m7</t>
  </si>
  <si>
    <t>P1
M2
P5</t>
  </si>
  <si>
    <t>P1
m3
d5
m6</t>
  </si>
  <si>
    <t>P1
M3
P5
M7</t>
  </si>
  <si>
    <t>P1
P4
M6</t>
  </si>
  <si>
    <t>P1
P5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</si>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</sst>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49" fontId="0" fillId="0" borderId="0" xfId="0" applyNumberFormat="1"/>
    <xf numFmtId="49" fontId="1" fillId="0" borderId="1" xfId="0" applyNumberFormat="1" applyFont="1" applyBorder="1"/>
    <xf numFmtId="164" fontId="0" fillId="0" borderId="0" xfId="0" applyNumberFormat="1"/>
    <xf numFmtId="1" fontId="0" fillId="0" borderId="0" xfId="0" applyNumberFormat="1"/>
    <xf numFmtId="49" fontId="1" fillId="0" borderId="1" xfId="0" applyNumberFormat="1" applyFont="1" applyBorder="1" applyAlignment="1">
      <alignment wrapText="1"/>
    </xf>
    <xf numFmtId="16" fontId="0" fillId="0" borderId="0" xfId="0" applyNumberFormat="1"/>
    <xf numFmtId="2" fontId="0" fillId="0" borderId="0" xfId="0" applyNumberFormat="1"/>
    <xf numFmtId="165" fontId="0" fillId="0" borderId="0" xfId="0" applyNumberFormat="1"/>
    <xf numFmtId="3" fontId="0" fillId="0" borderId="0" xfId="0" applyNumberFormat="1"/>
    <xf numFmtId="3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166" fontId="0" fillId="0" borderId="0" xfId="0" applyNumberForma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v>soprano</c:v>
          </c:tx>
          <c:spPr>
            <a:solidFill>
              <a:schemeClr val="accent1">
                <a:alpha val="50000"/>
              </a:schemeClr>
            </a:solidFill>
            <a:ln w="25400">
              <a:solidFill>
                <a:schemeClr val="accent1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Histograms'!$B$2:$B$129</c15:sqref>
                  </c15:fullRef>
                </c:ext>
              </c:extLst>
              <c:f>'Pitch Histograms'!$B$38:$B$78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14</c:v>
                </c:pt>
                <c:pt idx="23">
                  <c:v>8</c:v>
                </c:pt>
                <c:pt idx="24">
                  <c:v>202</c:v>
                </c:pt>
                <c:pt idx="25">
                  <c:v>38</c:v>
                </c:pt>
                <c:pt idx="26">
                  <c:v>812</c:v>
                </c:pt>
                <c:pt idx="27">
                  <c:v>206</c:v>
                </c:pt>
                <c:pt idx="28">
                  <c:v>940</c:v>
                </c:pt>
                <c:pt idx="29">
                  <c:v>1246</c:v>
                </c:pt>
                <c:pt idx="30">
                  <c:v>718</c:v>
                </c:pt>
                <c:pt idx="31">
                  <c:v>2655</c:v>
                </c:pt>
                <c:pt idx="32">
                  <c:v>235</c:v>
                </c:pt>
                <c:pt idx="33">
                  <c:v>2832</c:v>
                </c:pt>
                <c:pt idx="34">
                  <c:v>851</c:v>
                </c:pt>
                <c:pt idx="35">
                  <c:v>1171</c:v>
                </c:pt>
                <c:pt idx="36">
                  <c:v>1268</c:v>
                </c:pt>
                <c:pt idx="37">
                  <c:v>190</c:v>
                </c:pt>
                <c:pt idx="38">
                  <c:v>681</c:v>
                </c:pt>
                <c:pt idx="39">
                  <c:v>56</c:v>
                </c:pt>
                <c:pt idx="4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E-4E36-82CB-EE2CEDD3FF7B}"/>
            </c:ext>
          </c:extLst>
        </c:ser>
        <c:ser>
          <c:idx val="1"/>
          <c:order val="1"/>
          <c:tx>
            <c:v>alto</c:v>
          </c:tx>
          <c:spPr>
            <a:solidFill>
              <a:schemeClr val="accent2">
                <a:alpha val="50000"/>
              </a:schemeClr>
            </a:solidFill>
            <a:ln w="25400">
              <a:solidFill>
                <a:schemeClr val="accent2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Histograms'!$C$2:$C$129</c15:sqref>
                  </c15:fullRef>
                </c:ext>
              </c:extLst>
              <c:f>'Pitch Histograms'!$C$38:$C$78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63</c:v>
                </c:pt>
                <c:pt idx="20">
                  <c:v>7</c:v>
                </c:pt>
                <c:pt idx="21">
                  <c:v>522</c:v>
                </c:pt>
                <c:pt idx="22">
                  <c:v>244</c:v>
                </c:pt>
                <c:pt idx="23">
                  <c:v>774</c:v>
                </c:pt>
                <c:pt idx="24">
                  <c:v>1623</c:v>
                </c:pt>
                <c:pt idx="25">
                  <c:v>578</c:v>
                </c:pt>
                <c:pt idx="26">
                  <c:v>3502</c:v>
                </c:pt>
                <c:pt idx="27">
                  <c:v>730</c:v>
                </c:pt>
                <c:pt idx="28">
                  <c:v>2422</c:v>
                </c:pt>
                <c:pt idx="29">
                  <c:v>1766</c:v>
                </c:pt>
                <c:pt idx="30">
                  <c:v>658</c:v>
                </c:pt>
                <c:pt idx="31">
                  <c:v>1084</c:v>
                </c:pt>
                <c:pt idx="32">
                  <c:v>43</c:v>
                </c:pt>
                <c:pt idx="33">
                  <c:v>152</c:v>
                </c:pt>
                <c:pt idx="34">
                  <c:v>19</c:v>
                </c:pt>
                <c:pt idx="35">
                  <c:v>5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E-4E36-82CB-EE2CEDD3FF7B}"/>
            </c:ext>
          </c:extLst>
        </c:ser>
        <c:ser>
          <c:idx val="2"/>
          <c:order val="2"/>
          <c:tx>
            <c:v>tenor</c:v>
          </c:tx>
          <c:spPr>
            <a:solidFill>
              <a:schemeClr val="accent3">
                <a:alpha val="50000"/>
              </a:schemeClr>
            </a:solidFill>
            <a:ln w="25400">
              <a:solidFill>
                <a:schemeClr val="accent3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Histograms'!$D$2:$D$129</c15:sqref>
                  </c15:fullRef>
                </c:ext>
              </c:extLst>
              <c:f>'Pitch Histograms'!$D$38:$D$78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8</c:v>
                </c:pt>
                <c:pt idx="14">
                  <c:v>181</c:v>
                </c:pt>
                <c:pt idx="15">
                  <c:v>104</c:v>
                </c:pt>
                <c:pt idx="16">
                  <c:v>708</c:v>
                </c:pt>
                <c:pt idx="17">
                  <c:v>875</c:v>
                </c:pt>
                <c:pt idx="18">
                  <c:v>767</c:v>
                </c:pt>
                <c:pt idx="19">
                  <c:v>2224</c:v>
                </c:pt>
                <c:pt idx="20">
                  <c:v>293</c:v>
                </c:pt>
                <c:pt idx="21">
                  <c:v>2769</c:v>
                </c:pt>
                <c:pt idx="22">
                  <c:v>1115</c:v>
                </c:pt>
                <c:pt idx="23">
                  <c:v>1180</c:v>
                </c:pt>
                <c:pt idx="24">
                  <c:v>1935</c:v>
                </c:pt>
                <c:pt idx="25">
                  <c:v>152</c:v>
                </c:pt>
                <c:pt idx="26">
                  <c:v>1213</c:v>
                </c:pt>
                <c:pt idx="27">
                  <c:v>96</c:v>
                </c:pt>
                <c:pt idx="28">
                  <c:v>263</c:v>
                </c:pt>
                <c:pt idx="29">
                  <c:v>61</c:v>
                </c:pt>
                <c:pt idx="30">
                  <c:v>12</c:v>
                </c:pt>
                <c:pt idx="31">
                  <c:v>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E-4E36-82CB-EE2CEDD3FF7B}"/>
            </c:ext>
          </c:extLst>
        </c:ser>
        <c:ser>
          <c:idx val="3"/>
          <c:order val="3"/>
          <c:tx>
            <c:v>bass</c:v>
          </c:tx>
          <c:spPr>
            <a:solidFill>
              <a:schemeClr val="accent4">
                <a:alpha val="50000"/>
              </a:schemeClr>
            </a:solidFill>
            <a:ln w="25400">
              <a:solidFill>
                <a:schemeClr val="accent4"/>
              </a:solidFill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Histograms'!$E$2:$E$129</c15:sqref>
                  </c15:fullRef>
                </c:ext>
              </c:extLst>
              <c:f>'Pitch Histograms'!$E$38:$E$78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5</c:v>
                </c:pt>
                <c:pt idx="4">
                  <c:v>46</c:v>
                </c:pt>
                <c:pt idx="5">
                  <c:v>281</c:v>
                </c:pt>
                <c:pt idx="6">
                  <c:v>111</c:v>
                </c:pt>
                <c:pt idx="7">
                  <c:v>931</c:v>
                </c:pt>
                <c:pt idx="8">
                  <c:v>96</c:v>
                </c:pt>
                <c:pt idx="9">
                  <c:v>1313</c:v>
                </c:pt>
                <c:pt idx="10">
                  <c:v>739</c:v>
                </c:pt>
                <c:pt idx="11">
                  <c:v>815</c:v>
                </c:pt>
                <c:pt idx="12">
                  <c:v>1953</c:v>
                </c:pt>
                <c:pt idx="13">
                  <c:v>236</c:v>
                </c:pt>
                <c:pt idx="14">
                  <c:v>2656</c:v>
                </c:pt>
                <c:pt idx="15">
                  <c:v>467</c:v>
                </c:pt>
                <c:pt idx="16">
                  <c:v>1324</c:v>
                </c:pt>
                <c:pt idx="17">
                  <c:v>1243</c:v>
                </c:pt>
                <c:pt idx="18">
                  <c:v>306</c:v>
                </c:pt>
                <c:pt idx="19">
                  <c:v>1039</c:v>
                </c:pt>
                <c:pt idx="20">
                  <c:v>33</c:v>
                </c:pt>
                <c:pt idx="21">
                  <c:v>345</c:v>
                </c:pt>
                <c:pt idx="22">
                  <c:v>49</c:v>
                </c:pt>
                <c:pt idx="23">
                  <c:v>26</c:v>
                </c:pt>
                <c:pt idx="24">
                  <c:v>15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E-4E36-82CB-EE2CEDD3F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025583"/>
        <c:axId val="372677951"/>
      </c:areaChart>
      <c:catAx>
        <c:axId val="859025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MIDI pitch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2677951"/>
        <c:crosses val="autoZero"/>
        <c:auto val="1"/>
        <c:lblAlgn val="ctr"/>
        <c:lblOffset val="100"/>
        <c:noMultiLvlLbl val="0"/>
      </c:catAx>
      <c:valAx>
        <c:axId val="37267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absolute quantity of notes per pitch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902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soprano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Histograms'!$B$2:$B$129</c15:sqref>
                  </c15:fullRef>
                </c:ext>
              </c:extLst>
              <c:f>'Pitch Histograms'!$B$38:$B$78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14</c:v>
                </c:pt>
                <c:pt idx="23">
                  <c:v>8</c:v>
                </c:pt>
                <c:pt idx="24">
                  <c:v>202</c:v>
                </c:pt>
                <c:pt idx="25">
                  <c:v>38</c:v>
                </c:pt>
                <c:pt idx="26">
                  <c:v>812</c:v>
                </c:pt>
                <c:pt idx="27">
                  <c:v>206</c:v>
                </c:pt>
                <c:pt idx="28">
                  <c:v>940</c:v>
                </c:pt>
                <c:pt idx="29">
                  <c:v>1246</c:v>
                </c:pt>
                <c:pt idx="30">
                  <c:v>718</c:v>
                </c:pt>
                <c:pt idx="31">
                  <c:v>2655</c:v>
                </c:pt>
                <c:pt idx="32">
                  <c:v>235</c:v>
                </c:pt>
                <c:pt idx="33">
                  <c:v>2832</c:v>
                </c:pt>
                <c:pt idx="34">
                  <c:v>851</c:v>
                </c:pt>
                <c:pt idx="35">
                  <c:v>1171</c:v>
                </c:pt>
                <c:pt idx="36">
                  <c:v>1268</c:v>
                </c:pt>
                <c:pt idx="37">
                  <c:v>190</c:v>
                </c:pt>
                <c:pt idx="38">
                  <c:v>681</c:v>
                </c:pt>
                <c:pt idx="39">
                  <c:v>56</c:v>
                </c:pt>
                <c:pt idx="4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5-48A9-B8A1-5C49614327C2}"/>
            </c:ext>
          </c:extLst>
        </c:ser>
        <c:ser>
          <c:idx val="1"/>
          <c:order val="1"/>
          <c:tx>
            <c:v>alto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Histograms'!$C$2:$C$129</c15:sqref>
                  </c15:fullRef>
                </c:ext>
              </c:extLst>
              <c:f>'Pitch Histograms'!$C$38:$C$78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63</c:v>
                </c:pt>
                <c:pt idx="20">
                  <c:v>7</c:v>
                </c:pt>
                <c:pt idx="21">
                  <c:v>522</c:v>
                </c:pt>
                <c:pt idx="22">
                  <c:v>244</c:v>
                </c:pt>
                <c:pt idx="23">
                  <c:v>774</c:v>
                </c:pt>
                <c:pt idx="24">
                  <c:v>1623</c:v>
                </c:pt>
                <c:pt idx="25">
                  <c:v>578</c:v>
                </c:pt>
                <c:pt idx="26">
                  <c:v>3502</c:v>
                </c:pt>
                <c:pt idx="27">
                  <c:v>730</c:v>
                </c:pt>
                <c:pt idx="28">
                  <c:v>2422</c:v>
                </c:pt>
                <c:pt idx="29">
                  <c:v>1766</c:v>
                </c:pt>
                <c:pt idx="30">
                  <c:v>658</c:v>
                </c:pt>
                <c:pt idx="31">
                  <c:v>1084</c:v>
                </c:pt>
                <c:pt idx="32">
                  <c:v>43</c:v>
                </c:pt>
                <c:pt idx="33">
                  <c:v>152</c:v>
                </c:pt>
                <c:pt idx="34">
                  <c:v>19</c:v>
                </c:pt>
                <c:pt idx="35">
                  <c:v>5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5-48A9-B8A1-5C49614327C2}"/>
            </c:ext>
          </c:extLst>
        </c:ser>
        <c:ser>
          <c:idx val="2"/>
          <c:order val="2"/>
          <c:tx>
            <c:v>tenor</c:v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Histograms'!$D$2:$D$129</c15:sqref>
                  </c15:fullRef>
                </c:ext>
              </c:extLst>
              <c:f>'Pitch Histograms'!$D$38:$D$78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16</c:v>
                </c:pt>
                <c:pt idx="13">
                  <c:v>8</c:v>
                </c:pt>
                <c:pt idx="14">
                  <c:v>181</c:v>
                </c:pt>
                <c:pt idx="15">
                  <c:v>104</c:v>
                </c:pt>
                <c:pt idx="16">
                  <c:v>708</c:v>
                </c:pt>
                <c:pt idx="17">
                  <c:v>875</c:v>
                </c:pt>
                <c:pt idx="18">
                  <c:v>767</c:v>
                </c:pt>
                <c:pt idx="19">
                  <c:v>2224</c:v>
                </c:pt>
                <c:pt idx="20">
                  <c:v>293</c:v>
                </c:pt>
                <c:pt idx="21">
                  <c:v>2769</c:v>
                </c:pt>
                <c:pt idx="22">
                  <c:v>1115</c:v>
                </c:pt>
                <c:pt idx="23">
                  <c:v>1180</c:v>
                </c:pt>
                <c:pt idx="24">
                  <c:v>1935</c:v>
                </c:pt>
                <c:pt idx="25">
                  <c:v>152</c:v>
                </c:pt>
                <c:pt idx="26">
                  <c:v>1213</c:v>
                </c:pt>
                <c:pt idx="27">
                  <c:v>96</c:v>
                </c:pt>
                <c:pt idx="28">
                  <c:v>263</c:v>
                </c:pt>
                <c:pt idx="29">
                  <c:v>61</c:v>
                </c:pt>
                <c:pt idx="30">
                  <c:v>12</c:v>
                </c:pt>
                <c:pt idx="31">
                  <c:v>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A5-48A9-B8A1-5C49614327C2}"/>
            </c:ext>
          </c:extLst>
        </c:ser>
        <c:ser>
          <c:idx val="3"/>
          <c:order val="3"/>
          <c:tx>
            <c:v>bass</c:v>
          </c:tx>
          <c:spPr>
            <a:solidFill>
              <a:schemeClr val="accent4"/>
            </a:solidFill>
            <a:ln w="25400">
              <a:noFill/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'Pitch Histograms'!$A$2:$A$129</c15:sqref>
                  </c15:fullRef>
                </c:ext>
              </c:extLst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'Pitch Histograms'!$E$2:$E$129</c15:sqref>
                  </c15:fullRef>
                </c:ext>
              </c:extLst>
              <c:f>'Pitch Histograms'!$E$38:$E$78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5</c:v>
                </c:pt>
                <c:pt idx="4">
                  <c:v>46</c:v>
                </c:pt>
                <c:pt idx="5">
                  <c:v>281</c:v>
                </c:pt>
                <c:pt idx="6">
                  <c:v>111</c:v>
                </c:pt>
                <c:pt idx="7">
                  <c:v>931</c:v>
                </c:pt>
                <c:pt idx="8">
                  <c:v>96</c:v>
                </c:pt>
                <c:pt idx="9">
                  <c:v>1313</c:v>
                </c:pt>
                <c:pt idx="10">
                  <c:v>739</c:v>
                </c:pt>
                <c:pt idx="11">
                  <c:v>815</c:v>
                </c:pt>
                <c:pt idx="12">
                  <c:v>1953</c:v>
                </c:pt>
                <c:pt idx="13">
                  <c:v>236</c:v>
                </c:pt>
                <c:pt idx="14">
                  <c:v>2656</c:v>
                </c:pt>
                <c:pt idx="15">
                  <c:v>467</c:v>
                </c:pt>
                <c:pt idx="16">
                  <c:v>1324</c:v>
                </c:pt>
                <c:pt idx="17">
                  <c:v>1243</c:v>
                </c:pt>
                <c:pt idx="18">
                  <c:v>306</c:v>
                </c:pt>
                <c:pt idx="19">
                  <c:v>1039</c:v>
                </c:pt>
                <c:pt idx="20">
                  <c:v>33</c:v>
                </c:pt>
                <c:pt idx="21">
                  <c:v>345</c:v>
                </c:pt>
                <c:pt idx="22">
                  <c:v>49</c:v>
                </c:pt>
                <c:pt idx="23">
                  <c:v>26</c:v>
                </c:pt>
                <c:pt idx="24">
                  <c:v>15</c:v>
                </c:pt>
                <c:pt idx="25">
                  <c:v>0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A5-48A9-B8A1-5C496143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716806319"/>
        <c:axId val="372796319"/>
      </c:barChart>
      <c:catAx>
        <c:axId val="716806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MIDI pitch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2796319"/>
        <c:crosses val="autoZero"/>
        <c:auto val="1"/>
        <c:lblAlgn val="ctr"/>
        <c:lblOffset val="100"/>
        <c:noMultiLvlLbl val="0"/>
      </c:catAx>
      <c:valAx>
        <c:axId val="3727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absolute quantity of notes per pitch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0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soprano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f>'Pitch Histograms'!$G$38:$G$78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7.0641424131110485E-5</c:v>
                </c:pt>
                <c:pt idx="22">
                  <c:v>9.8897993783554671E-4</c:v>
                </c:pt>
                <c:pt idx="23">
                  <c:v>5.6513139304888388E-4</c:v>
                </c:pt>
                <c:pt idx="24">
                  <c:v>1.4269567674484318E-2</c:v>
                </c:pt>
                <c:pt idx="25">
                  <c:v>2.6843741169821985E-3</c:v>
                </c:pt>
                <c:pt idx="26">
                  <c:v>5.7360836394461712E-2</c:v>
                </c:pt>
                <c:pt idx="27">
                  <c:v>1.455213337100876E-2</c:v>
                </c:pt>
                <c:pt idx="28">
                  <c:v>6.6402938683243859E-2</c:v>
                </c:pt>
                <c:pt idx="29">
                  <c:v>8.801921446736366E-2</c:v>
                </c:pt>
                <c:pt idx="30">
                  <c:v>5.0720542526137329E-2</c:v>
                </c:pt>
                <c:pt idx="31">
                  <c:v>0.18755298106809834</c:v>
                </c:pt>
                <c:pt idx="32">
                  <c:v>1.6600734670810965E-2</c:v>
                </c:pt>
                <c:pt idx="33">
                  <c:v>0.20005651313930489</c:v>
                </c:pt>
                <c:pt idx="34">
                  <c:v>6.0115851935575018E-2</c:v>
                </c:pt>
                <c:pt idx="35">
                  <c:v>8.2721107657530379E-2</c:v>
                </c:pt>
                <c:pt idx="36">
                  <c:v>8.9573325798248088E-2</c:v>
                </c:pt>
                <c:pt idx="37">
                  <c:v>1.3421870584910992E-2</c:v>
                </c:pt>
                <c:pt idx="38">
                  <c:v>4.8106809833286239E-2</c:v>
                </c:pt>
                <c:pt idx="39">
                  <c:v>3.9559197513421868E-3</c:v>
                </c:pt>
                <c:pt idx="40">
                  <c:v>2.2605255721955355E-3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E-4062-8611-93039A0C9EB4}"/>
            </c:ext>
          </c:extLst>
        </c:ser>
        <c:ser>
          <c:idx val="1"/>
          <c:order val="1"/>
          <c:tx>
            <c:v>alto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f>'Pitch Histograms'!$H$38:$H$78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7.040766035344645E-5</c:v>
                </c:pt>
                <c:pt idx="17">
                  <c:v>2.816306414137858E-4</c:v>
                </c:pt>
                <c:pt idx="18">
                  <c:v>3.5203830176723229E-4</c:v>
                </c:pt>
                <c:pt idx="19">
                  <c:v>4.4356826022671266E-3</c:v>
                </c:pt>
                <c:pt idx="20">
                  <c:v>4.9285362247412522E-4</c:v>
                </c:pt>
                <c:pt idx="21">
                  <c:v>3.6752798704499053E-2</c:v>
                </c:pt>
                <c:pt idx="22">
                  <c:v>1.7179469126240934E-2</c:v>
                </c:pt>
                <c:pt idx="23">
                  <c:v>5.4495529113567559E-2</c:v>
                </c:pt>
                <c:pt idx="24">
                  <c:v>0.11427163275364359</c:v>
                </c:pt>
                <c:pt idx="25">
                  <c:v>4.0695627684292052E-2</c:v>
                </c:pt>
                <c:pt idx="26">
                  <c:v>0.24656762655776948</c:v>
                </c:pt>
                <c:pt idx="27">
                  <c:v>5.139759205801591E-2</c:v>
                </c:pt>
                <c:pt idx="28">
                  <c:v>0.17052735337604732</c:v>
                </c:pt>
                <c:pt idx="29">
                  <c:v>0.12433992818418645</c:v>
                </c:pt>
                <c:pt idx="30">
                  <c:v>4.6328240512567766E-2</c:v>
                </c:pt>
                <c:pt idx="31">
                  <c:v>7.6321903823135959E-2</c:v>
                </c:pt>
                <c:pt idx="32">
                  <c:v>3.0275293951981977E-3</c:v>
                </c:pt>
                <c:pt idx="33">
                  <c:v>1.070196437372386E-2</c:v>
                </c:pt>
                <c:pt idx="34">
                  <c:v>1.3377455467154826E-3</c:v>
                </c:pt>
                <c:pt idx="35">
                  <c:v>3.5203830176723229E-4</c:v>
                </c:pt>
                <c:pt idx="36">
                  <c:v>7.040766035344645E-5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E-4062-8611-93039A0C9EB4}"/>
            </c:ext>
          </c:extLst>
        </c:ser>
        <c:ser>
          <c:idx val="2"/>
          <c:order val="2"/>
          <c:tx>
            <c:v>tenor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f>'Pitch Histograms'!$I$38:$I$78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7.1540992988982689E-5</c:v>
                </c:pt>
                <c:pt idx="12">
                  <c:v>1.144655887823723E-3</c:v>
                </c:pt>
                <c:pt idx="13">
                  <c:v>5.7232794391186151E-4</c:v>
                </c:pt>
                <c:pt idx="14">
                  <c:v>1.2948919731005867E-2</c:v>
                </c:pt>
                <c:pt idx="15">
                  <c:v>7.4402632708541992E-3</c:v>
                </c:pt>
                <c:pt idx="16">
                  <c:v>5.0651023036199741E-2</c:v>
                </c:pt>
                <c:pt idx="17">
                  <c:v>6.2598368865359855E-2</c:v>
                </c:pt>
                <c:pt idx="18">
                  <c:v>5.4871941622549721E-2</c:v>
                </c:pt>
                <c:pt idx="19">
                  <c:v>0.1591071684074975</c:v>
                </c:pt>
                <c:pt idx="20">
                  <c:v>2.0961510945771929E-2</c:v>
                </c:pt>
                <c:pt idx="21">
                  <c:v>0.19809700958649307</c:v>
                </c:pt>
                <c:pt idx="22">
                  <c:v>7.9768207182715697E-2</c:v>
                </c:pt>
                <c:pt idx="23">
                  <c:v>8.4418371726999578E-2</c:v>
                </c:pt>
                <c:pt idx="24">
                  <c:v>0.13843182143368149</c:v>
                </c:pt>
                <c:pt idx="25">
                  <c:v>1.0874230934325369E-2</c:v>
                </c:pt>
                <c:pt idx="26">
                  <c:v>8.6779224495635993E-2</c:v>
                </c:pt>
                <c:pt idx="27">
                  <c:v>6.8679353269423381E-3</c:v>
                </c:pt>
                <c:pt idx="28">
                  <c:v>1.8815281156102447E-2</c:v>
                </c:pt>
                <c:pt idx="29">
                  <c:v>4.3640005723279435E-3</c:v>
                </c:pt>
                <c:pt idx="30">
                  <c:v>8.5849191586779227E-4</c:v>
                </c:pt>
                <c:pt idx="31">
                  <c:v>3.5770496494491345E-4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E-4062-8611-93039A0C9EB4}"/>
            </c:ext>
          </c:extLst>
        </c:ser>
        <c:ser>
          <c:idx val="3"/>
          <c:order val="3"/>
          <c:tx>
            <c:v>bass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'Pitch Histograms'!$A$38:$A$78</c:f>
              <c:numCache>
                <c:formatCode>General</c:formatCode>
                <c:ptCount val="41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</c:numCache>
            </c:numRef>
          </c:cat>
          <c:val>
            <c:numRef>
              <c:f>'Pitch Histograms'!$J$38:$J$78</c:f>
              <c:numCache>
                <c:formatCode>General</c:formatCode>
                <c:ptCount val="41"/>
                <c:pt idx="0">
                  <c:v>7.122507122507122E-5</c:v>
                </c:pt>
                <c:pt idx="1">
                  <c:v>0</c:v>
                </c:pt>
                <c:pt idx="2">
                  <c:v>4.9857549857549861E-4</c:v>
                </c:pt>
                <c:pt idx="3">
                  <c:v>3.5612535612535614E-4</c:v>
                </c:pt>
                <c:pt idx="4">
                  <c:v>3.2763532763532763E-3</c:v>
                </c:pt>
                <c:pt idx="5">
                  <c:v>2.0014245014245015E-2</c:v>
                </c:pt>
                <c:pt idx="6">
                  <c:v>7.9059829059829057E-3</c:v>
                </c:pt>
                <c:pt idx="7">
                  <c:v>6.6310541310541316E-2</c:v>
                </c:pt>
                <c:pt idx="8">
                  <c:v>6.8376068376068376E-3</c:v>
                </c:pt>
                <c:pt idx="9">
                  <c:v>9.3518518518518515E-2</c:v>
                </c:pt>
                <c:pt idx="10">
                  <c:v>5.2635327635327633E-2</c:v>
                </c:pt>
                <c:pt idx="11">
                  <c:v>5.8048433048433046E-2</c:v>
                </c:pt>
                <c:pt idx="12">
                  <c:v>0.13910256410256411</c:v>
                </c:pt>
                <c:pt idx="13">
                  <c:v>1.6809116809116811E-2</c:v>
                </c:pt>
                <c:pt idx="14">
                  <c:v>0.18917378917378919</c:v>
                </c:pt>
                <c:pt idx="15">
                  <c:v>3.3262108262108264E-2</c:v>
                </c:pt>
                <c:pt idx="16">
                  <c:v>9.4301994301994305E-2</c:v>
                </c:pt>
                <c:pt idx="17">
                  <c:v>8.8532763532763528E-2</c:v>
                </c:pt>
                <c:pt idx="18">
                  <c:v>2.1794871794871794E-2</c:v>
                </c:pt>
                <c:pt idx="19">
                  <c:v>7.4002849002849008E-2</c:v>
                </c:pt>
                <c:pt idx="20">
                  <c:v>2.3504273504273503E-3</c:v>
                </c:pt>
                <c:pt idx="21">
                  <c:v>2.4572649572649572E-2</c:v>
                </c:pt>
                <c:pt idx="22">
                  <c:v>3.4900284900284901E-3</c:v>
                </c:pt>
                <c:pt idx="23">
                  <c:v>1.8518518518518519E-3</c:v>
                </c:pt>
                <c:pt idx="24">
                  <c:v>1.0683760683760685E-3</c:v>
                </c:pt>
                <c:pt idx="25">
                  <c:v>0</c:v>
                </c:pt>
                <c:pt idx="26">
                  <c:v>2.1367521367521368E-4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5E-4062-8611-93039A0C9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655975599"/>
        <c:axId val="33387535"/>
      </c:barChart>
      <c:catAx>
        <c:axId val="65597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MIDI pitch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387535"/>
        <c:crosses val="autoZero"/>
        <c:auto val="1"/>
        <c:lblAlgn val="ctr"/>
        <c:lblOffset val="100"/>
        <c:noMultiLvlLbl val="0"/>
      </c:catAx>
      <c:valAx>
        <c:axId val="3338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frequency of notes</a:t>
                </a:r>
                <a:r>
                  <a:rPr lang="de-DE" baseline="0"/>
                  <a:t> per </a:t>
                </a:r>
                <a:r>
                  <a:rPr lang="de-DE"/>
                  <a:t>pitch within voice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597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v>soprano/alto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'Voice Distances'!$H$3:$H$31</c:f>
              <c:numCache>
                <c:formatCode>General</c:formatCode>
                <c:ptCount val="2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</c:numCache>
            </c:numRef>
          </c:cat>
          <c:val>
            <c:numRef>
              <c:f>'Voice Distances'!$I$3:$I$31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107</c:v>
                </c:pt>
                <c:pt idx="5">
                  <c:v>13</c:v>
                </c:pt>
                <c:pt idx="6">
                  <c:v>364</c:v>
                </c:pt>
                <c:pt idx="7">
                  <c:v>2848</c:v>
                </c:pt>
                <c:pt idx="8">
                  <c:v>2597</c:v>
                </c:pt>
                <c:pt idx="9">
                  <c:v>3222</c:v>
                </c:pt>
                <c:pt idx="10">
                  <c:v>347</c:v>
                </c:pt>
                <c:pt idx="11">
                  <c:v>1589</c:v>
                </c:pt>
                <c:pt idx="12">
                  <c:v>1632</c:v>
                </c:pt>
                <c:pt idx="13">
                  <c:v>1261</c:v>
                </c:pt>
                <c:pt idx="14">
                  <c:v>31</c:v>
                </c:pt>
                <c:pt idx="15">
                  <c:v>7</c:v>
                </c:pt>
                <c:pt idx="16">
                  <c:v>255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8-4696-9A8A-021420759D3C}"/>
            </c:ext>
          </c:extLst>
        </c:ser>
        <c:ser>
          <c:idx val="2"/>
          <c:order val="2"/>
          <c:tx>
            <c:v>alto/tenor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'Voice Distances'!$H$3:$H$31</c:f>
              <c:numCache>
                <c:formatCode>General</c:formatCode>
                <c:ptCount val="2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</c:numCache>
            </c:numRef>
          </c:cat>
          <c:val>
            <c:numRef>
              <c:f>'Voice Distances'!$J$3:$J$31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600</c:v>
                </c:pt>
                <c:pt idx="5">
                  <c:v>0</c:v>
                </c:pt>
                <c:pt idx="6">
                  <c:v>48</c:v>
                </c:pt>
                <c:pt idx="7">
                  <c:v>2270</c:v>
                </c:pt>
                <c:pt idx="8">
                  <c:v>3264</c:v>
                </c:pt>
                <c:pt idx="9">
                  <c:v>3913</c:v>
                </c:pt>
                <c:pt idx="10">
                  <c:v>302</c:v>
                </c:pt>
                <c:pt idx="11">
                  <c:v>1733</c:v>
                </c:pt>
                <c:pt idx="12">
                  <c:v>1604</c:v>
                </c:pt>
                <c:pt idx="13">
                  <c:v>987</c:v>
                </c:pt>
                <c:pt idx="14">
                  <c:v>57</c:v>
                </c:pt>
                <c:pt idx="15">
                  <c:v>1</c:v>
                </c:pt>
                <c:pt idx="16">
                  <c:v>398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68-4696-9A8A-021420759D3C}"/>
            </c:ext>
          </c:extLst>
        </c:ser>
        <c:ser>
          <c:idx val="3"/>
          <c:order val="3"/>
          <c:tx>
            <c:v>tenor/bass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'Voice Distances'!$H$3:$H$31</c:f>
              <c:numCache>
                <c:formatCode>General</c:formatCode>
                <c:ptCount val="2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</c:numCache>
            </c:numRef>
          </c:cat>
          <c:val>
            <c:numRef>
              <c:f>'Voice Distances'!$K$3:$K$31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577</c:v>
                </c:pt>
                <c:pt idx="5">
                  <c:v>6</c:v>
                </c:pt>
                <c:pt idx="6">
                  <c:v>34</c:v>
                </c:pt>
                <c:pt idx="7">
                  <c:v>1979</c:v>
                </c:pt>
                <c:pt idx="8">
                  <c:v>1983</c:v>
                </c:pt>
                <c:pt idx="9">
                  <c:v>226</c:v>
                </c:pt>
                <c:pt idx="10">
                  <c:v>15</c:v>
                </c:pt>
                <c:pt idx="11">
                  <c:v>3843</c:v>
                </c:pt>
                <c:pt idx="12">
                  <c:v>471</c:v>
                </c:pt>
                <c:pt idx="13">
                  <c:v>219</c:v>
                </c:pt>
                <c:pt idx="14">
                  <c:v>49</c:v>
                </c:pt>
                <c:pt idx="15">
                  <c:v>18</c:v>
                </c:pt>
                <c:pt idx="16">
                  <c:v>3208</c:v>
                </c:pt>
                <c:pt idx="17">
                  <c:v>4</c:v>
                </c:pt>
                <c:pt idx="18">
                  <c:v>47</c:v>
                </c:pt>
                <c:pt idx="19">
                  <c:v>754</c:v>
                </c:pt>
                <c:pt idx="20">
                  <c:v>736</c:v>
                </c:pt>
                <c:pt idx="21">
                  <c:v>22</c:v>
                </c:pt>
                <c:pt idx="22">
                  <c:v>0</c:v>
                </c:pt>
                <c:pt idx="23">
                  <c:v>165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68-4696-9A8A-02142075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47660304"/>
        <c:axId val="2983960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'Voice Distances'!$H$3:$H$31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-4</c:v>
                      </c:pt>
                      <c:pt idx="1">
                        <c:v>-3</c:v>
                      </c:pt>
                      <c:pt idx="2">
                        <c:v>-2</c:v>
                      </c:pt>
                      <c:pt idx="3">
                        <c:v>-1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9</c:v>
                      </c:pt>
                      <c:pt idx="14">
                        <c:v>10</c:v>
                      </c:pt>
                      <c:pt idx="15">
                        <c:v>11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15</c:v>
                      </c:pt>
                      <c:pt idx="20">
                        <c:v>16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20</c:v>
                      </c:pt>
                      <c:pt idx="25">
                        <c:v>21</c:v>
                      </c:pt>
                      <c:pt idx="26">
                        <c:v>22</c:v>
                      </c:pt>
                      <c:pt idx="27">
                        <c:v>23</c:v>
                      </c:pt>
                      <c:pt idx="28">
                        <c:v>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'Voice Distances'!$H$3:$H$31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-4</c:v>
                      </c:pt>
                      <c:pt idx="1">
                        <c:v>-3</c:v>
                      </c:pt>
                      <c:pt idx="2">
                        <c:v>-2</c:v>
                      </c:pt>
                      <c:pt idx="3">
                        <c:v>-1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9</c:v>
                      </c:pt>
                      <c:pt idx="14">
                        <c:v>10</c:v>
                      </c:pt>
                      <c:pt idx="15">
                        <c:v>11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15</c:v>
                      </c:pt>
                      <c:pt idx="20">
                        <c:v>16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20</c:v>
                      </c:pt>
                      <c:pt idx="25">
                        <c:v>21</c:v>
                      </c:pt>
                      <c:pt idx="26">
                        <c:v>22</c:v>
                      </c:pt>
                      <c:pt idx="27">
                        <c:v>23</c:v>
                      </c:pt>
                      <c:pt idx="28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768-4696-9A8A-021420759D3C}"/>
                  </c:ext>
                </c:extLst>
              </c15:ser>
            </c15:filteredBarSeries>
          </c:ext>
        </c:extLst>
      </c:barChart>
      <c:catAx>
        <c:axId val="84766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semitones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8396080"/>
        <c:crosses val="autoZero"/>
        <c:auto val="1"/>
        <c:lblAlgn val="ctr"/>
        <c:lblOffset val="100"/>
        <c:noMultiLvlLbl val="0"/>
      </c:catAx>
      <c:valAx>
        <c:axId val="29839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absolute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766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sopranor/bass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'Voice Distances'!$H$10:$H$40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</c:numCache>
            </c:numRef>
          </c:cat>
          <c:val>
            <c:numRef>
              <c:f>'Voice Distances'!$L$10:$L$40</c:f>
              <c:numCache>
                <c:formatCode>General</c:formatCode>
                <c:ptCount val="3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55</c:v>
                </c:pt>
                <c:pt idx="6">
                  <c:v>44</c:v>
                </c:pt>
                <c:pt idx="7">
                  <c:v>5</c:v>
                </c:pt>
                <c:pt idx="8">
                  <c:v>7</c:v>
                </c:pt>
                <c:pt idx="9">
                  <c:v>1485</c:v>
                </c:pt>
                <c:pt idx="10">
                  <c:v>173</c:v>
                </c:pt>
                <c:pt idx="11">
                  <c:v>47</c:v>
                </c:pt>
                <c:pt idx="12">
                  <c:v>1948</c:v>
                </c:pt>
                <c:pt idx="13">
                  <c:v>2152</c:v>
                </c:pt>
                <c:pt idx="14">
                  <c:v>140</c:v>
                </c:pt>
                <c:pt idx="15">
                  <c:v>50</c:v>
                </c:pt>
                <c:pt idx="16">
                  <c:v>3274</c:v>
                </c:pt>
                <c:pt idx="17">
                  <c:v>842</c:v>
                </c:pt>
                <c:pt idx="18">
                  <c:v>615</c:v>
                </c:pt>
                <c:pt idx="19">
                  <c:v>71</c:v>
                </c:pt>
                <c:pt idx="20">
                  <c:v>54</c:v>
                </c:pt>
                <c:pt idx="21">
                  <c:v>2228</c:v>
                </c:pt>
                <c:pt idx="22">
                  <c:v>2</c:v>
                </c:pt>
                <c:pt idx="23">
                  <c:v>22</c:v>
                </c:pt>
                <c:pt idx="24">
                  <c:v>556</c:v>
                </c:pt>
                <c:pt idx="25">
                  <c:v>531</c:v>
                </c:pt>
                <c:pt idx="26">
                  <c:v>7</c:v>
                </c:pt>
                <c:pt idx="27">
                  <c:v>3</c:v>
                </c:pt>
                <c:pt idx="28">
                  <c:v>86</c:v>
                </c:pt>
                <c:pt idx="29">
                  <c:v>14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5-4769-94A7-CC625E1D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42875248"/>
        <c:axId val="804138064"/>
      </c:barChart>
      <c:catAx>
        <c:axId val="15428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semitones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4138064"/>
        <c:crosses val="autoZero"/>
        <c:auto val="1"/>
        <c:lblAlgn val="ctr"/>
        <c:lblOffset val="100"/>
        <c:noMultiLvlLbl val="0"/>
      </c:catAx>
      <c:valAx>
        <c:axId val="80413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absolute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28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soprano/alto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'Voice Distances'!$H$47:$H$75</c:f>
              <c:numCache>
                <c:formatCode>General</c:formatCode>
                <c:ptCount val="2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</c:numCache>
            </c:numRef>
          </c:cat>
          <c:val>
            <c:numRef>
              <c:f>'Voice Distances'!$I$47:$I$75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7.4966720381139211E-3</c:v>
                </c:pt>
                <c:pt idx="5">
                  <c:v>9.1081062145309327E-4</c:v>
                </c:pt>
                <c:pt idx="6">
                  <c:v>2.550269740068661E-2</c:v>
                </c:pt>
                <c:pt idx="7">
                  <c:v>0.19953758845372382</c:v>
                </c:pt>
                <c:pt idx="8">
                  <c:v>0.18195193722412947</c:v>
                </c:pt>
                <c:pt idx="9">
                  <c:v>0.22574090940937433</c:v>
                </c:pt>
                <c:pt idx="10">
                  <c:v>2.431163735724795E-2</c:v>
                </c:pt>
                <c:pt idx="11">
                  <c:v>0.11132908288376656</c:v>
                </c:pt>
                <c:pt idx="12">
                  <c:v>0.1143417641701114</c:v>
                </c:pt>
                <c:pt idx="13">
                  <c:v>8.8348630280950052E-2</c:v>
                </c:pt>
                <c:pt idx="14">
                  <c:v>2.1719330203881456E-3</c:v>
                </c:pt>
                <c:pt idx="15">
                  <c:v>4.9043648847474255E-4</c:v>
                </c:pt>
                <c:pt idx="16">
                  <c:v>1.7865900651579905E-2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0-406F-B324-41236BAF20D7}"/>
            </c:ext>
          </c:extLst>
        </c:ser>
        <c:ser>
          <c:idx val="1"/>
          <c:order val="1"/>
          <c:tx>
            <c:v>alto/tenor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'Voice Distances'!$H$47:$H$75</c:f>
              <c:numCache>
                <c:formatCode>General</c:formatCode>
                <c:ptCount val="2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</c:numCache>
            </c:numRef>
          </c:cat>
          <c:val>
            <c:numRef>
              <c:f>'Voice Distances'!$J$47:$J$75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3.9520484784613355E-2</c:v>
                </c:pt>
                <c:pt idx="5">
                  <c:v>0</c:v>
                </c:pt>
                <c:pt idx="6">
                  <c:v>3.1616387827690688E-3</c:v>
                </c:pt>
                <c:pt idx="7">
                  <c:v>0.14951916743512053</c:v>
                </c:pt>
                <c:pt idx="8">
                  <c:v>0.21499143722829667</c:v>
                </c:pt>
                <c:pt idx="9">
                  <c:v>0.25773942827032009</c:v>
                </c:pt>
                <c:pt idx="10">
                  <c:v>1.9891977341588724E-2</c:v>
                </c:pt>
                <c:pt idx="11">
                  <c:v>0.11414833355289158</c:v>
                </c:pt>
                <c:pt idx="12">
                  <c:v>0.10565142932419971</c:v>
                </c:pt>
                <c:pt idx="13">
                  <c:v>6.5011197470688981E-2</c:v>
                </c:pt>
                <c:pt idx="14">
                  <c:v>3.7544460545382691E-3</c:v>
                </c:pt>
                <c:pt idx="15">
                  <c:v>6.5867474641022257E-5</c:v>
                </c:pt>
                <c:pt idx="16">
                  <c:v>2.621525490712686E-2</c:v>
                </c:pt>
                <c:pt idx="17">
                  <c:v>0</c:v>
                </c:pt>
                <c:pt idx="18">
                  <c:v>1.3173494928204451E-4</c:v>
                </c:pt>
                <c:pt idx="19">
                  <c:v>1.3173494928204451E-4</c:v>
                </c:pt>
                <c:pt idx="20">
                  <c:v>0</c:v>
                </c:pt>
                <c:pt idx="21">
                  <c:v>6.5867474641022257E-5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0-406F-B324-41236BAF20D7}"/>
            </c:ext>
          </c:extLst>
        </c:ser>
        <c:ser>
          <c:idx val="2"/>
          <c:order val="2"/>
          <c:tx>
            <c:v>tenor/bass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'Voice Distances'!$H$47:$H$75</c:f>
              <c:numCache>
                <c:formatCode>General</c:formatCode>
                <c:ptCount val="2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</c:numCache>
            </c:numRef>
          </c:cat>
          <c:val>
            <c:numRef>
              <c:f>'Voice Distances'!$K$47:$K$75</c:f>
              <c:numCache>
                <c:formatCode>General</c:formatCode>
                <c:ptCount val="29"/>
                <c:pt idx="0">
                  <c:v>6.9603953504559059E-5</c:v>
                </c:pt>
                <c:pt idx="1">
                  <c:v>1.3920790700911812E-4</c:v>
                </c:pt>
                <c:pt idx="2">
                  <c:v>0</c:v>
                </c:pt>
                <c:pt idx="3">
                  <c:v>0</c:v>
                </c:pt>
                <c:pt idx="4">
                  <c:v>4.0161481172130579E-2</c:v>
                </c:pt>
                <c:pt idx="5">
                  <c:v>4.1762372102735435E-4</c:v>
                </c:pt>
                <c:pt idx="6">
                  <c:v>2.366534419155008E-3</c:v>
                </c:pt>
                <c:pt idx="7">
                  <c:v>0.13774622398552239</c:v>
                </c:pt>
                <c:pt idx="8">
                  <c:v>0.1380246397995406</c:v>
                </c:pt>
                <c:pt idx="9">
                  <c:v>1.5730493492030349E-2</c:v>
                </c:pt>
                <c:pt idx="10">
                  <c:v>1.0440593025683859E-3</c:v>
                </c:pt>
                <c:pt idx="11">
                  <c:v>0.26748799331802048</c:v>
                </c:pt>
                <c:pt idx="12">
                  <c:v>3.2783462100647316E-2</c:v>
                </c:pt>
                <c:pt idx="13">
                  <c:v>1.5243265817498434E-2</c:v>
                </c:pt>
                <c:pt idx="14">
                  <c:v>3.4105937217233937E-3</c:v>
                </c:pt>
                <c:pt idx="15">
                  <c:v>1.2528711630820631E-3</c:v>
                </c:pt>
                <c:pt idx="16">
                  <c:v>0.22328948284262545</c:v>
                </c:pt>
                <c:pt idx="17">
                  <c:v>2.7841581401823624E-4</c:v>
                </c:pt>
                <c:pt idx="18">
                  <c:v>3.2713858147142756E-3</c:v>
                </c:pt>
                <c:pt idx="19">
                  <c:v>5.2481380942437532E-2</c:v>
                </c:pt>
                <c:pt idx="20">
                  <c:v>5.1228509779355468E-2</c:v>
                </c:pt>
                <c:pt idx="21">
                  <c:v>1.5312869771002993E-3</c:v>
                </c:pt>
                <c:pt idx="22">
                  <c:v>0</c:v>
                </c:pt>
                <c:pt idx="23">
                  <c:v>1.1484652328252245E-2</c:v>
                </c:pt>
                <c:pt idx="24">
                  <c:v>2.7841581401823624E-4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2.7841581401823624E-4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0-406F-B324-41236BAF2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80104095"/>
        <c:axId val="33435055"/>
      </c:barChart>
      <c:catAx>
        <c:axId val="780104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semitones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435055"/>
        <c:crosses val="autoZero"/>
        <c:auto val="1"/>
        <c:lblAlgn val="ctr"/>
        <c:lblOffset val="100"/>
        <c:noMultiLvlLbl val="0"/>
      </c:catAx>
      <c:valAx>
        <c:axId val="3343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frequency within voice</a:t>
                </a:r>
                <a:r>
                  <a:rPr lang="de-DE" baseline="0"/>
                  <a:t> pair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010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soprano/bass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'Voice Distances'!$H$54:$H$84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</c:numCache>
            </c:numRef>
          </c:cat>
          <c:val>
            <c:numRef>
              <c:f>'Voice Distances'!$L$54:$L$84</c:f>
              <c:numCache>
                <c:formatCode>General</c:formatCode>
                <c:ptCount val="31"/>
                <c:pt idx="0">
                  <c:v>1.3873473917869035E-4</c:v>
                </c:pt>
                <c:pt idx="1">
                  <c:v>6.9367369589345173E-5</c:v>
                </c:pt>
                <c:pt idx="2">
                  <c:v>6.9367369589345173E-5</c:v>
                </c:pt>
                <c:pt idx="3">
                  <c:v>0</c:v>
                </c:pt>
                <c:pt idx="4">
                  <c:v>0</c:v>
                </c:pt>
                <c:pt idx="5">
                  <c:v>3.8152053274139843E-3</c:v>
                </c:pt>
                <c:pt idx="6">
                  <c:v>3.0521642619311877E-3</c:v>
                </c:pt>
                <c:pt idx="7">
                  <c:v>3.4683684794672585E-4</c:v>
                </c:pt>
                <c:pt idx="8">
                  <c:v>4.8557158712541623E-4</c:v>
                </c:pt>
                <c:pt idx="9">
                  <c:v>0.10301054384017758</c:v>
                </c:pt>
                <c:pt idx="10">
                  <c:v>1.2000554938956715E-2</c:v>
                </c:pt>
                <c:pt idx="11">
                  <c:v>3.260266370699223E-3</c:v>
                </c:pt>
                <c:pt idx="12">
                  <c:v>0.1351276359600444</c:v>
                </c:pt>
                <c:pt idx="13">
                  <c:v>0.14927857935627081</c:v>
                </c:pt>
                <c:pt idx="14">
                  <c:v>9.7114317425083235E-3</c:v>
                </c:pt>
                <c:pt idx="15">
                  <c:v>3.4683684794672587E-3</c:v>
                </c:pt>
                <c:pt idx="16">
                  <c:v>0.22710876803551611</c:v>
                </c:pt>
                <c:pt idx="17">
                  <c:v>5.8407325194228636E-2</c:v>
                </c:pt>
                <c:pt idx="18">
                  <c:v>4.2660932297447281E-2</c:v>
                </c:pt>
                <c:pt idx="19">
                  <c:v>4.9250832408435068E-3</c:v>
                </c:pt>
                <c:pt idx="20">
                  <c:v>3.7458379578246392E-3</c:v>
                </c:pt>
                <c:pt idx="21">
                  <c:v>0.15455049944506105</c:v>
                </c:pt>
                <c:pt idx="22">
                  <c:v>1.3873473917869035E-4</c:v>
                </c:pt>
                <c:pt idx="23">
                  <c:v>1.5260821309655938E-3</c:v>
                </c:pt>
                <c:pt idx="24">
                  <c:v>3.8568257491675917E-2</c:v>
                </c:pt>
                <c:pt idx="25">
                  <c:v>3.6834073251942288E-2</c:v>
                </c:pt>
                <c:pt idx="26">
                  <c:v>4.8557158712541623E-4</c:v>
                </c:pt>
                <c:pt idx="27">
                  <c:v>2.0810210876803551E-4</c:v>
                </c:pt>
                <c:pt idx="28">
                  <c:v>5.9655937846836852E-3</c:v>
                </c:pt>
                <c:pt idx="29">
                  <c:v>9.7114317425083245E-4</c:v>
                </c:pt>
                <c:pt idx="30">
                  <c:v>6.9367369589345173E-5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4-40F8-9B7E-4B5D7737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41503471"/>
        <c:axId val="33502255"/>
      </c:barChart>
      <c:catAx>
        <c:axId val="84150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semitones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502255"/>
        <c:crosses val="autoZero"/>
        <c:auto val="1"/>
        <c:lblAlgn val="ctr"/>
        <c:lblOffset val="100"/>
        <c:noMultiLvlLbl val="0"/>
      </c:catAx>
      <c:valAx>
        <c:axId val="3350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frequency within voice pair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15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soprano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'Melodic Intervals'!$H$3:$H$27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Intervals'!$I$3:$I$27</c:f>
              <c:numCache>
                <c:formatCode>General</c:formatCode>
                <c:ptCount val="25"/>
                <c:pt idx="0">
                  <c:v>34</c:v>
                </c:pt>
                <c:pt idx="1">
                  <c:v>0</c:v>
                </c:pt>
                <c:pt idx="2">
                  <c:v>6</c:v>
                </c:pt>
                <c:pt idx="3">
                  <c:v>22</c:v>
                </c:pt>
                <c:pt idx="4">
                  <c:v>24</c:v>
                </c:pt>
                <c:pt idx="5">
                  <c:v>188</c:v>
                </c:pt>
                <c:pt idx="6">
                  <c:v>0</c:v>
                </c:pt>
                <c:pt idx="7">
                  <c:v>508</c:v>
                </c:pt>
                <c:pt idx="8">
                  <c:v>261</c:v>
                </c:pt>
                <c:pt idx="9">
                  <c:v>575</c:v>
                </c:pt>
                <c:pt idx="10">
                  <c:v>2589</c:v>
                </c:pt>
                <c:pt idx="11">
                  <c:v>1126</c:v>
                </c:pt>
                <c:pt idx="12">
                  <c:v>2213</c:v>
                </c:pt>
                <c:pt idx="13">
                  <c:v>1463</c:v>
                </c:pt>
                <c:pt idx="14">
                  <c:v>3345</c:v>
                </c:pt>
                <c:pt idx="15">
                  <c:v>724</c:v>
                </c:pt>
                <c:pt idx="16">
                  <c:v>378</c:v>
                </c:pt>
                <c:pt idx="17">
                  <c:v>231</c:v>
                </c:pt>
                <c:pt idx="18">
                  <c:v>2</c:v>
                </c:pt>
                <c:pt idx="19">
                  <c:v>142</c:v>
                </c:pt>
                <c:pt idx="20">
                  <c:v>6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E-46F9-A074-383C8976E835}"/>
            </c:ext>
          </c:extLst>
        </c:ser>
        <c:ser>
          <c:idx val="1"/>
          <c:order val="1"/>
          <c:tx>
            <c:v>alto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'Melodic Intervals'!$H$3:$H$27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Intervals'!$J$3:$J$27</c:f>
              <c:numCache>
                <c:formatCode>General</c:formatCode>
                <c:ptCount val="2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11</c:v>
                </c:pt>
                <c:pt idx="5">
                  <c:v>43</c:v>
                </c:pt>
                <c:pt idx="6">
                  <c:v>5</c:v>
                </c:pt>
                <c:pt idx="7">
                  <c:v>465</c:v>
                </c:pt>
                <c:pt idx="8">
                  <c:v>319</c:v>
                </c:pt>
                <c:pt idx="9">
                  <c:v>681</c:v>
                </c:pt>
                <c:pt idx="10">
                  <c:v>1794</c:v>
                </c:pt>
                <c:pt idx="11">
                  <c:v>1471</c:v>
                </c:pt>
                <c:pt idx="12">
                  <c:v>4013</c:v>
                </c:pt>
                <c:pt idx="13">
                  <c:v>1551</c:v>
                </c:pt>
                <c:pt idx="14">
                  <c:v>1811</c:v>
                </c:pt>
                <c:pt idx="15">
                  <c:v>976</c:v>
                </c:pt>
                <c:pt idx="16">
                  <c:v>509</c:v>
                </c:pt>
                <c:pt idx="17">
                  <c:v>209</c:v>
                </c:pt>
                <c:pt idx="18">
                  <c:v>1</c:v>
                </c:pt>
                <c:pt idx="19">
                  <c:v>23</c:v>
                </c:pt>
                <c:pt idx="20">
                  <c:v>1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E-46F9-A074-383C8976E835}"/>
            </c:ext>
          </c:extLst>
        </c:ser>
        <c:ser>
          <c:idx val="2"/>
          <c:order val="2"/>
          <c:tx>
            <c:v>tenor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'Melodic Intervals'!$H$3:$H$27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Intervals'!$K$3:$K$27</c:f>
              <c:numCache>
                <c:formatCode>General</c:formatCode>
                <c:ptCount val="2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40</c:v>
                </c:pt>
                <c:pt idx="5">
                  <c:v>98</c:v>
                </c:pt>
                <c:pt idx="6">
                  <c:v>2</c:v>
                </c:pt>
                <c:pt idx="7">
                  <c:v>498</c:v>
                </c:pt>
                <c:pt idx="8">
                  <c:v>287</c:v>
                </c:pt>
                <c:pt idx="9">
                  <c:v>692</c:v>
                </c:pt>
                <c:pt idx="10">
                  <c:v>2221</c:v>
                </c:pt>
                <c:pt idx="11">
                  <c:v>1233</c:v>
                </c:pt>
                <c:pt idx="12">
                  <c:v>3476</c:v>
                </c:pt>
                <c:pt idx="13">
                  <c:v>1050</c:v>
                </c:pt>
                <c:pt idx="14">
                  <c:v>1887</c:v>
                </c:pt>
                <c:pt idx="15">
                  <c:v>1272</c:v>
                </c:pt>
                <c:pt idx="16">
                  <c:v>484</c:v>
                </c:pt>
                <c:pt idx="17">
                  <c:v>227</c:v>
                </c:pt>
                <c:pt idx="18">
                  <c:v>6</c:v>
                </c:pt>
                <c:pt idx="19">
                  <c:v>150</c:v>
                </c:pt>
                <c:pt idx="20">
                  <c:v>8</c:v>
                </c:pt>
                <c:pt idx="21">
                  <c:v>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1E-46F9-A074-383C8976E835}"/>
            </c:ext>
          </c:extLst>
        </c:ser>
        <c:ser>
          <c:idx val="3"/>
          <c:order val="3"/>
          <c:tx>
            <c:v>bass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'Melodic Intervals'!$H$3:$H$27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Intervals'!$L$3:$L$27</c:f>
              <c:numCache>
                <c:formatCode>General</c:formatCode>
                <c:ptCount val="25"/>
                <c:pt idx="0">
                  <c:v>107</c:v>
                </c:pt>
                <c:pt idx="1">
                  <c:v>0</c:v>
                </c:pt>
                <c:pt idx="2">
                  <c:v>3</c:v>
                </c:pt>
                <c:pt idx="3">
                  <c:v>61</c:v>
                </c:pt>
                <c:pt idx="4">
                  <c:v>17</c:v>
                </c:pt>
                <c:pt idx="5">
                  <c:v>718</c:v>
                </c:pt>
                <c:pt idx="6">
                  <c:v>2</c:v>
                </c:pt>
                <c:pt idx="7">
                  <c:v>1757</c:v>
                </c:pt>
                <c:pt idx="8">
                  <c:v>440</c:v>
                </c:pt>
                <c:pt idx="9">
                  <c:v>549</c:v>
                </c:pt>
                <c:pt idx="10">
                  <c:v>1930</c:v>
                </c:pt>
                <c:pt idx="11">
                  <c:v>856</c:v>
                </c:pt>
                <c:pt idx="12">
                  <c:v>950</c:v>
                </c:pt>
                <c:pt idx="13">
                  <c:v>487</c:v>
                </c:pt>
                <c:pt idx="14">
                  <c:v>1471</c:v>
                </c:pt>
                <c:pt idx="15">
                  <c:v>1172</c:v>
                </c:pt>
                <c:pt idx="16">
                  <c:v>609</c:v>
                </c:pt>
                <c:pt idx="17">
                  <c:v>1370</c:v>
                </c:pt>
                <c:pt idx="18">
                  <c:v>8</c:v>
                </c:pt>
                <c:pt idx="19">
                  <c:v>1083</c:v>
                </c:pt>
                <c:pt idx="20">
                  <c:v>79</c:v>
                </c:pt>
                <c:pt idx="21">
                  <c:v>23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1E-46F9-A074-383C8976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4242079"/>
        <c:axId val="122031983"/>
      </c:barChart>
      <c:catAx>
        <c:axId val="48424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melodic interval in semitones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031983"/>
        <c:crosses val="autoZero"/>
        <c:auto val="1"/>
        <c:lblAlgn val="ctr"/>
        <c:lblOffset val="100"/>
        <c:noMultiLvlLbl val="0"/>
      </c:catAx>
      <c:valAx>
        <c:axId val="12203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absolute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424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soprano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Intervals'!$I$36:$I$60</c:f>
              <c:numCache>
                <c:formatCode>General</c:formatCode>
                <c:ptCount val="25"/>
                <c:pt idx="0">
                  <c:v>2.4557602022390753E-3</c:v>
                </c:pt>
                <c:pt idx="1">
                  <c:v>0</c:v>
                </c:pt>
                <c:pt idx="2">
                  <c:v>4.3336944745395449E-4</c:v>
                </c:pt>
                <c:pt idx="3">
                  <c:v>1.5890213073311665E-3</c:v>
                </c:pt>
                <c:pt idx="4">
                  <c:v>1.733477789815818E-3</c:v>
                </c:pt>
                <c:pt idx="5">
                  <c:v>1.3578909353557241E-2</c:v>
                </c:pt>
                <c:pt idx="6">
                  <c:v>0</c:v>
                </c:pt>
                <c:pt idx="7">
                  <c:v>3.669194655110148E-2</c:v>
                </c:pt>
                <c:pt idx="8">
                  <c:v>1.8851570964247021E-2</c:v>
                </c:pt>
                <c:pt idx="9">
                  <c:v>4.1531238714337303E-2</c:v>
                </c:pt>
                <c:pt idx="10">
                  <c:v>0.18699891657638137</c:v>
                </c:pt>
                <c:pt idx="11">
                  <c:v>8.1328999638858798E-2</c:v>
                </c:pt>
                <c:pt idx="12">
                  <c:v>0.1598410978692669</c:v>
                </c:pt>
                <c:pt idx="13">
                  <c:v>0.10566991693752258</c:v>
                </c:pt>
                <c:pt idx="14">
                  <c:v>0.24160346695557963</c:v>
                </c:pt>
                <c:pt idx="15">
                  <c:v>5.2293246659443841E-2</c:v>
                </c:pt>
                <c:pt idx="16">
                  <c:v>2.7302275189599132E-2</c:v>
                </c:pt>
                <c:pt idx="17">
                  <c:v>1.6684723726977248E-2</c:v>
                </c:pt>
                <c:pt idx="18">
                  <c:v>1.4445648248465149E-4</c:v>
                </c:pt>
                <c:pt idx="19">
                  <c:v>1.0256410256410256E-2</c:v>
                </c:pt>
                <c:pt idx="20">
                  <c:v>4.3336944745395449E-4</c:v>
                </c:pt>
                <c:pt idx="21">
                  <c:v>2.8891296496930298E-4</c:v>
                </c:pt>
                <c:pt idx="22">
                  <c:v>0</c:v>
                </c:pt>
                <c:pt idx="23">
                  <c:v>0</c:v>
                </c:pt>
                <c:pt idx="24">
                  <c:v>2.8891296496930298E-4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6-4876-BF92-5B3167B07BC2}"/>
            </c:ext>
          </c:extLst>
        </c:ser>
        <c:ser>
          <c:idx val="1"/>
          <c:order val="1"/>
          <c:tx>
            <c:v>alto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Intervals'!$J$36:$J$60</c:f>
              <c:numCache>
                <c:formatCode>General</c:formatCode>
                <c:ptCount val="25"/>
                <c:pt idx="0">
                  <c:v>7.1983875611862942E-5</c:v>
                </c:pt>
                <c:pt idx="1">
                  <c:v>0</c:v>
                </c:pt>
                <c:pt idx="2">
                  <c:v>0</c:v>
                </c:pt>
                <c:pt idx="3">
                  <c:v>2.8793550244745177E-4</c:v>
                </c:pt>
                <c:pt idx="4">
                  <c:v>7.9182263173049232E-4</c:v>
                </c:pt>
                <c:pt idx="5">
                  <c:v>3.0953066513101065E-3</c:v>
                </c:pt>
                <c:pt idx="6">
                  <c:v>3.599193780593147E-4</c:v>
                </c:pt>
                <c:pt idx="7">
                  <c:v>3.3472502159516269E-2</c:v>
                </c:pt>
                <c:pt idx="8">
                  <c:v>2.2962856320184279E-2</c:v>
                </c:pt>
                <c:pt idx="9">
                  <c:v>4.9021019291678666E-2</c:v>
                </c:pt>
                <c:pt idx="10">
                  <c:v>0.12913907284768211</c:v>
                </c:pt>
                <c:pt idx="11">
                  <c:v>0.10588828102505039</c:v>
                </c:pt>
                <c:pt idx="12">
                  <c:v>0.28887129283040597</c:v>
                </c:pt>
                <c:pt idx="13">
                  <c:v>0.11164699107399942</c:v>
                </c:pt>
                <c:pt idx="14">
                  <c:v>0.13036279873308379</c:v>
                </c:pt>
                <c:pt idx="15">
                  <c:v>7.0256262597178237E-2</c:v>
                </c:pt>
                <c:pt idx="16">
                  <c:v>3.6639792686438237E-2</c:v>
                </c:pt>
                <c:pt idx="17">
                  <c:v>1.5044630002879355E-2</c:v>
                </c:pt>
                <c:pt idx="18">
                  <c:v>7.1983875611862942E-5</c:v>
                </c:pt>
                <c:pt idx="19">
                  <c:v>1.6556291390728477E-3</c:v>
                </c:pt>
                <c:pt idx="20">
                  <c:v>7.1983875611862942E-5</c:v>
                </c:pt>
                <c:pt idx="21">
                  <c:v>2.8793550244745177E-4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6-4876-BF92-5B3167B07BC2}"/>
            </c:ext>
          </c:extLst>
        </c:ser>
        <c:ser>
          <c:idx val="2"/>
          <c:order val="2"/>
          <c:tx>
            <c:v>tenor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Intervals'!$K$36:$K$60</c:f>
              <c:numCache>
                <c:formatCode>General</c:formatCode>
                <c:ptCount val="25"/>
                <c:pt idx="0">
                  <c:v>7.3168947098851251E-5</c:v>
                </c:pt>
                <c:pt idx="1">
                  <c:v>0</c:v>
                </c:pt>
                <c:pt idx="2">
                  <c:v>0</c:v>
                </c:pt>
                <c:pt idx="3">
                  <c:v>2.048730518767835E-3</c:v>
                </c:pt>
                <c:pt idx="4">
                  <c:v>2.92675788395405E-3</c:v>
                </c:pt>
                <c:pt idx="5">
                  <c:v>7.1705568156874219E-3</c:v>
                </c:pt>
                <c:pt idx="6">
                  <c:v>1.463378941977025E-4</c:v>
                </c:pt>
                <c:pt idx="7">
                  <c:v>3.6438135655227924E-2</c:v>
                </c:pt>
                <c:pt idx="8">
                  <c:v>2.0999487817370308E-2</c:v>
                </c:pt>
                <c:pt idx="9">
                  <c:v>5.0632911392405063E-2</c:v>
                </c:pt>
                <c:pt idx="10">
                  <c:v>0.16250823150654861</c:v>
                </c:pt>
                <c:pt idx="11">
                  <c:v>9.0217311772883585E-2</c:v>
                </c:pt>
                <c:pt idx="12">
                  <c:v>0.25433526011560692</c:v>
                </c:pt>
                <c:pt idx="13">
                  <c:v>7.6827394453793815E-2</c:v>
                </c:pt>
                <c:pt idx="14">
                  <c:v>0.1380698031755323</c:v>
                </c:pt>
                <c:pt idx="15">
                  <c:v>9.3070900709738794E-2</c:v>
                </c:pt>
                <c:pt idx="16">
                  <c:v>3.5413770395844001E-2</c:v>
                </c:pt>
                <c:pt idx="17">
                  <c:v>1.6609350991439235E-2</c:v>
                </c:pt>
                <c:pt idx="18">
                  <c:v>4.390136825931075E-4</c:v>
                </c:pt>
                <c:pt idx="19">
                  <c:v>1.0975342064827687E-2</c:v>
                </c:pt>
                <c:pt idx="20">
                  <c:v>5.8535157679081001E-4</c:v>
                </c:pt>
                <c:pt idx="21">
                  <c:v>5.1218262969195876E-4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86-4876-BF92-5B3167B07BC2}"/>
            </c:ext>
          </c:extLst>
        </c:ser>
        <c:ser>
          <c:idx val="3"/>
          <c:order val="3"/>
          <c:tx>
            <c:v>bass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Intervals'!$L$36:$L$60</c:f>
              <c:numCache>
                <c:formatCode>General</c:formatCode>
                <c:ptCount val="25"/>
                <c:pt idx="0">
                  <c:v>7.7937213198339284E-3</c:v>
                </c:pt>
                <c:pt idx="1">
                  <c:v>0</c:v>
                </c:pt>
                <c:pt idx="2">
                  <c:v>2.1851555102338116E-4</c:v>
                </c:pt>
                <c:pt idx="3">
                  <c:v>4.443149537475417E-3</c:v>
                </c:pt>
                <c:pt idx="4">
                  <c:v>1.2382547891324933E-3</c:v>
                </c:pt>
                <c:pt idx="5">
                  <c:v>5.229805521159589E-2</c:v>
                </c:pt>
                <c:pt idx="6">
                  <c:v>1.4567703401558745E-4</c:v>
                </c:pt>
                <c:pt idx="7">
                  <c:v>0.12797727438269357</c:v>
                </c:pt>
                <c:pt idx="8">
                  <c:v>3.2048947483429235E-2</c:v>
                </c:pt>
                <c:pt idx="9">
                  <c:v>3.9988345837278755E-2</c:v>
                </c:pt>
                <c:pt idx="10">
                  <c:v>0.14057833782504189</c:v>
                </c:pt>
                <c:pt idx="11">
                  <c:v>6.2349770558671427E-2</c:v>
                </c:pt>
                <c:pt idx="12">
                  <c:v>6.9196591157404036E-2</c:v>
                </c:pt>
                <c:pt idx="13">
                  <c:v>3.547235778279554E-2</c:v>
                </c:pt>
                <c:pt idx="14">
                  <c:v>0.10714545851846456</c:v>
                </c:pt>
                <c:pt idx="15">
                  <c:v>8.5366741933134246E-2</c:v>
                </c:pt>
                <c:pt idx="16">
                  <c:v>4.4358656857746377E-2</c:v>
                </c:pt>
                <c:pt idx="17">
                  <c:v>9.97887683006774E-2</c:v>
                </c:pt>
                <c:pt idx="18">
                  <c:v>5.8270813606234979E-4</c:v>
                </c:pt>
                <c:pt idx="19">
                  <c:v>7.8884113919440599E-2</c:v>
                </c:pt>
                <c:pt idx="20">
                  <c:v>5.7542428436157039E-3</c:v>
                </c:pt>
                <c:pt idx="21">
                  <c:v>1.6752858911792555E-3</c:v>
                </c:pt>
                <c:pt idx="22">
                  <c:v>0</c:v>
                </c:pt>
                <c:pt idx="23">
                  <c:v>0</c:v>
                </c:pt>
                <c:pt idx="24">
                  <c:v>2.6950251292883675E-3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86-4876-BF92-5B3167B07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68140751"/>
        <c:axId val="121914863"/>
      </c:barChart>
      <c:catAx>
        <c:axId val="56814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melodic interval in semitones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14863"/>
        <c:crosses val="autoZero"/>
        <c:auto val="1"/>
        <c:lblAlgn val="ctr"/>
        <c:lblOffset val="100"/>
        <c:noMultiLvlLbl val="0"/>
      </c:catAx>
      <c:valAx>
        <c:axId val="1219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quantity within voice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814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v>soprano</c:v>
          </c:tx>
          <c:spPr>
            <a:solidFill>
              <a:schemeClr val="accent1">
                <a:alpha val="50000"/>
              </a:schemeClr>
            </a:solidFill>
            <a:ln w="25400">
              <a:solidFill>
                <a:schemeClr val="accent1"/>
              </a:solidFill>
            </a:ln>
            <a:effectLst/>
          </c:spPr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Intervals'!$I$36:$I$60</c:f>
              <c:numCache>
                <c:formatCode>General</c:formatCode>
                <c:ptCount val="25"/>
                <c:pt idx="0">
                  <c:v>2.4557602022390753E-3</c:v>
                </c:pt>
                <c:pt idx="1">
                  <c:v>0</c:v>
                </c:pt>
                <c:pt idx="2">
                  <c:v>4.3336944745395449E-4</c:v>
                </c:pt>
                <c:pt idx="3">
                  <c:v>1.5890213073311665E-3</c:v>
                </c:pt>
                <c:pt idx="4">
                  <c:v>1.733477789815818E-3</c:v>
                </c:pt>
                <c:pt idx="5">
                  <c:v>1.3578909353557241E-2</c:v>
                </c:pt>
                <c:pt idx="6">
                  <c:v>0</c:v>
                </c:pt>
                <c:pt idx="7">
                  <c:v>3.669194655110148E-2</c:v>
                </c:pt>
                <c:pt idx="8">
                  <c:v>1.8851570964247021E-2</c:v>
                </c:pt>
                <c:pt idx="9">
                  <c:v>4.1531238714337303E-2</c:v>
                </c:pt>
                <c:pt idx="10">
                  <c:v>0.18699891657638137</c:v>
                </c:pt>
                <c:pt idx="11">
                  <c:v>8.1328999638858798E-2</c:v>
                </c:pt>
                <c:pt idx="12">
                  <c:v>0.1598410978692669</c:v>
                </c:pt>
                <c:pt idx="13">
                  <c:v>0.10566991693752258</c:v>
                </c:pt>
                <c:pt idx="14">
                  <c:v>0.24160346695557963</c:v>
                </c:pt>
                <c:pt idx="15">
                  <c:v>5.2293246659443841E-2</c:v>
                </c:pt>
                <c:pt idx="16">
                  <c:v>2.7302275189599132E-2</c:v>
                </c:pt>
                <c:pt idx="17">
                  <c:v>1.6684723726977248E-2</c:v>
                </c:pt>
                <c:pt idx="18">
                  <c:v>1.4445648248465149E-4</c:v>
                </c:pt>
                <c:pt idx="19">
                  <c:v>1.0256410256410256E-2</c:v>
                </c:pt>
                <c:pt idx="20">
                  <c:v>4.3336944745395449E-4</c:v>
                </c:pt>
                <c:pt idx="21">
                  <c:v>2.8891296496930298E-4</c:v>
                </c:pt>
                <c:pt idx="22">
                  <c:v>0</c:v>
                </c:pt>
                <c:pt idx="23">
                  <c:v>0</c:v>
                </c:pt>
                <c:pt idx="24">
                  <c:v>2.8891296496930298E-4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6-4876-BF92-5B3167B07BC2}"/>
            </c:ext>
          </c:extLst>
        </c:ser>
        <c:ser>
          <c:idx val="1"/>
          <c:order val="1"/>
          <c:tx>
            <c:v>alto</c:v>
          </c:tx>
          <c:spPr>
            <a:solidFill>
              <a:schemeClr val="accent2">
                <a:alpha val="50000"/>
              </a:schemeClr>
            </a:solidFill>
            <a:ln w="25400">
              <a:solidFill>
                <a:schemeClr val="accent2"/>
              </a:solidFill>
            </a:ln>
            <a:effectLst/>
          </c:spPr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Intervals'!$J$36:$J$60</c:f>
              <c:numCache>
                <c:formatCode>General</c:formatCode>
                <c:ptCount val="25"/>
                <c:pt idx="0">
                  <c:v>7.1983875611862942E-5</c:v>
                </c:pt>
                <c:pt idx="1">
                  <c:v>0</c:v>
                </c:pt>
                <c:pt idx="2">
                  <c:v>0</c:v>
                </c:pt>
                <c:pt idx="3">
                  <c:v>2.8793550244745177E-4</c:v>
                </c:pt>
                <c:pt idx="4">
                  <c:v>7.9182263173049232E-4</c:v>
                </c:pt>
                <c:pt idx="5">
                  <c:v>3.0953066513101065E-3</c:v>
                </c:pt>
                <c:pt idx="6">
                  <c:v>3.599193780593147E-4</c:v>
                </c:pt>
                <c:pt idx="7">
                  <c:v>3.3472502159516269E-2</c:v>
                </c:pt>
                <c:pt idx="8">
                  <c:v>2.2962856320184279E-2</c:v>
                </c:pt>
                <c:pt idx="9">
                  <c:v>4.9021019291678666E-2</c:v>
                </c:pt>
                <c:pt idx="10">
                  <c:v>0.12913907284768211</c:v>
                </c:pt>
                <c:pt idx="11">
                  <c:v>0.10588828102505039</c:v>
                </c:pt>
                <c:pt idx="12">
                  <c:v>0.28887129283040597</c:v>
                </c:pt>
                <c:pt idx="13">
                  <c:v>0.11164699107399942</c:v>
                </c:pt>
                <c:pt idx="14">
                  <c:v>0.13036279873308379</c:v>
                </c:pt>
                <c:pt idx="15">
                  <c:v>7.0256262597178237E-2</c:v>
                </c:pt>
                <c:pt idx="16">
                  <c:v>3.6639792686438237E-2</c:v>
                </c:pt>
                <c:pt idx="17">
                  <c:v>1.5044630002879355E-2</c:v>
                </c:pt>
                <c:pt idx="18">
                  <c:v>7.1983875611862942E-5</c:v>
                </c:pt>
                <c:pt idx="19">
                  <c:v>1.6556291390728477E-3</c:v>
                </c:pt>
                <c:pt idx="20">
                  <c:v>7.1983875611862942E-5</c:v>
                </c:pt>
                <c:pt idx="21">
                  <c:v>2.8793550244745177E-4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6-4876-BF92-5B3167B07BC2}"/>
            </c:ext>
          </c:extLst>
        </c:ser>
        <c:ser>
          <c:idx val="2"/>
          <c:order val="2"/>
          <c:tx>
            <c:v>tenor</c:v>
          </c:tx>
          <c:spPr>
            <a:solidFill>
              <a:schemeClr val="accent3">
                <a:alpha val="50000"/>
              </a:schemeClr>
            </a:solidFill>
            <a:ln w="25400">
              <a:solidFill>
                <a:schemeClr val="accent3"/>
              </a:solidFill>
            </a:ln>
            <a:effectLst/>
          </c:spPr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Intervals'!$K$36:$K$60</c:f>
              <c:numCache>
                <c:formatCode>General</c:formatCode>
                <c:ptCount val="25"/>
                <c:pt idx="0">
                  <c:v>7.3168947098851251E-5</c:v>
                </c:pt>
                <c:pt idx="1">
                  <c:v>0</c:v>
                </c:pt>
                <c:pt idx="2">
                  <c:v>0</c:v>
                </c:pt>
                <c:pt idx="3">
                  <c:v>2.048730518767835E-3</c:v>
                </c:pt>
                <c:pt idx="4">
                  <c:v>2.92675788395405E-3</c:v>
                </c:pt>
                <c:pt idx="5">
                  <c:v>7.1705568156874219E-3</c:v>
                </c:pt>
                <c:pt idx="6">
                  <c:v>1.463378941977025E-4</c:v>
                </c:pt>
                <c:pt idx="7">
                  <c:v>3.6438135655227924E-2</c:v>
                </c:pt>
                <c:pt idx="8">
                  <c:v>2.0999487817370308E-2</c:v>
                </c:pt>
                <c:pt idx="9">
                  <c:v>5.0632911392405063E-2</c:v>
                </c:pt>
                <c:pt idx="10">
                  <c:v>0.16250823150654861</c:v>
                </c:pt>
                <c:pt idx="11">
                  <c:v>9.0217311772883585E-2</c:v>
                </c:pt>
                <c:pt idx="12">
                  <c:v>0.25433526011560692</c:v>
                </c:pt>
                <c:pt idx="13">
                  <c:v>7.6827394453793815E-2</c:v>
                </c:pt>
                <c:pt idx="14">
                  <c:v>0.1380698031755323</c:v>
                </c:pt>
                <c:pt idx="15">
                  <c:v>9.3070900709738794E-2</c:v>
                </c:pt>
                <c:pt idx="16">
                  <c:v>3.5413770395844001E-2</c:v>
                </c:pt>
                <c:pt idx="17">
                  <c:v>1.6609350991439235E-2</c:v>
                </c:pt>
                <c:pt idx="18">
                  <c:v>4.390136825931075E-4</c:v>
                </c:pt>
                <c:pt idx="19">
                  <c:v>1.0975342064827687E-2</c:v>
                </c:pt>
                <c:pt idx="20">
                  <c:v>5.8535157679081001E-4</c:v>
                </c:pt>
                <c:pt idx="21">
                  <c:v>5.1218262969195876E-4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86-4876-BF92-5B3167B07BC2}"/>
            </c:ext>
          </c:extLst>
        </c:ser>
        <c:ser>
          <c:idx val="3"/>
          <c:order val="3"/>
          <c:tx>
            <c:v>bass</c:v>
          </c:tx>
          <c:spPr>
            <a:solidFill>
              <a:schemeClr val="accent4">
                <a:alpha val="50000"/>
              </a:schemeClr>
            </a:solidFill>
            <a:ln w="25400">
              <a:solidFill>
                <a:schemeClr val="accent4"/>
              </a:solidFill>
            </a:ln>
            <a:effectLst/>
          </c:spPr>
          <c:cat>
            <c:numRef>
              <c:f>'Melodic Intervals'!$H$36:$H$60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cat>
          <c:val>
            <c:numRef>
              <c:f>'Melodic Intervals'!$L$36:$L$60</c:f>
              <c:numCache>
                <c:formatCode>General</c:formatCode>
                <c:ptCount val="25"/>
                <c:pt idx="0">
                  <c:v>7.7937213198339284E-3</c:v>
                </c:pt>
                <c:pt idx="1">
                  <c:v>0</c:v>
                </c:pt>
                <c:pt idx="2">
                  <c:v>2.1851555102338116E-4</c:v>
                </c:pt>
                <c:pt idx="3">
                  <c:v>4.443149537475417E-3</c:v>
                </c:pt>
                <c:pt idx="4">
                  <c:v>1.2382547891324933E-3</c:v>
                </c:pt>
                <c:pt idx="5">
                  <c:v>5.229805521159589E-2</c:v>
                </c:pt>
                <c:pt idx="6">
                  <c:v>1.4567703401558745E-4</c:v>
                </c:pt>
                <c:pt idx="7">
                  <c:v>0.12797727438269357</c:v>
                </c:pt>
                <c:pt idx="8">
                  <c:v>3.2048947483429235E-2</c:v>
                </c:pt>
                <c:pt idx="9">
                  <c:v>3.9988345837278755E-2</c:v>
                </c:pt>
                <c:pt idx="10">
                  <c:v>0.14057833782504189</c:v>
                </c:pt>
                <c:pt idx="11">
                  <c:v>6.2349770558671427E-2</c:v>
                </c:pt>
                <c:pt idx="12">
                  <c:v>6.9196591157404036E-2</c:v>
                </c:pt>
                <c:pt idx="13">
                  <c:v>3.547235778279554E-2</c:v>
                </c:pt>
                <c:pt idx="14">
                  <c:v>0.10714545851846456</c:v>
                </c:pt>
                <c:pt idx="15">
                  <c:v>8.5366741933134246E-2</c:v>
                </c:pt>
                <c:pt idx="16">
                  <c:v>4.4358656857746377E-2</c:v>
                </c:pt>
                <c:pt idx="17">
                  <c:v>9.97887683006774E-2</c:v>
                </c:pt>
                <c:pt idx="18">
                  <c:v>5.8270813606234979E-4</c:v>
                </c:pt>
                <c:pt idx="19">
                  <c:v>7.8884113919440599E-2</c:v>
                </c:pt>
                <c:pt idx="20">
                  <c:v>5.7542428436157039E-3</c:v>
                </c:pt>
                <c:pt idx="21">
                  <c:v>1.6752858911792555E-3</c:v>
                </c:pt>
                <c:pt idx="22">
                  <c:v>0</c:v>
                </c:pt>
                <c:pt idx="23">
                  <c:v>0</c:v>
                </c:pt>
                <c:pt idx="24">
                  <c:v>2.6950251292883675E-3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86-4876-BF92-5B3167B07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140751"/>
        <c:axId val="121914863"/>
      </c:areaChart>
      <c:catAx>
        <c:axId val="56814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melodic interval in semitones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914863"/>
        <c:crosses val="autoZero"/>
        <c:auto val="1"/>
        <c:lblAlgn val="ctr"/>
        <c:lblOffset val="100"/>
        <c:noMultiLvlLbl val="0"/>
      </c:catAx>
      <c:valAx>
        <c:axId val="1219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quantity within voice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814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quantity with unaccentuated chords weighted Chords 0.5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Chords!$A$2:$A$81</c:f>
              <c:strCache>
                <c:ptCount val="80"/>
                <c:pt idx="0">
                  <c:v>P1
M3
P5</c:v>
                </c:pt>
                <c:pt idx="1">
                  <c:v>P1
m3
P5</c:v>
                </c:pt>
                <c:pt idx="2">
                  <c:v>P1
m3
m6</c:v>
                </c:pt>
                <c:pt idx="3">
                  <c:v>P1
P4
P5</c:v>
                </c:pt>
                <c:pt idx="4">
                  <c:v>P1
M3
M6</c:v>
                </c:pt>
                <c:pt idx="5">
                  <c:v>P1
M3</c:v>
                </c:pt>
                <c:pt idx="6">
                  <c:v>P1
m3
M6</c:v>
                </c:pt>
                <c:pt idx="7">
                  <c:v>P1
m3</c:v>
                </c:pt>
                <c:pt idx="8">
                  <c:v>P1
M2
P5
M7</c:v>
                </c:pt>
                <c:pt idx="9">
                  <c:v>P1
M3
P5
M6</c:v>
                </c:pt>
                <c:pt idx="10">
                  <c:v>P1
P4
M6</c:v>
                </c:pt>
                <c:pt idx="11">
                  <c:v>P1
m3
P5
m7</c:v>
                </c:pt>
                <c:pt idx="12">
                  <c:v>P1
M3
P5
m7</c:v>
                </c:pt>
                <c:pt idx="13">
                  <c:v>P1
M2
P5</c:v>
                </c:pt>
                <c:pt idx="14">
                  <c:v>P1
m3
d5
m6</c:v>
                </c:pt>
                <c:pt idx="15">
                  <c:v>P1
M3
P5
M7</c:v>
                </c:pt>
                <c:pt idx="16">
                  <c:v>P1
P5</c:v>
                </c:pt>
                <c:pt idx="17">
                  <c:v>P1 m3 P5 M6</c:v>
                </c:pt>
                <c:pt idx="18">
                  <c:v>P1</c:v>
                </c:pt>
                <c:pt idx="19">
                  <c:v>P1 m2 P4 m6</c:v>
                </c:pt>
                <c:pt idx="20">
                  <c:v>P1 M2 m3 P5</c:v>
                </c:pt>
                <c:pt idx="21">
                  <c:v>P1 M2 P4 P5</c:v>
                </c:pt>
                <c:pt idx="22">
                  <c:v>P1 P4</c:v>
                </c:pt>
                <c:pt idx="23">
                  <c:v>P1 m3 m7</c:v>
                </c:pt>
                <c:pt idx="24">
                  <c:v>P1 M2 P4</c:v>
                </c:pt>
                <c:pt idx="25">
                  <c:v>P1 M2 P4 M6</c:v>
                </c:pt>
                <c:pt idx="26">
                  <c:v>P1 M2 A4 M6</c:v>
                </c:pt>
                <c:pt idx="27">
                  <c:v>P1 M2 P5 m7</c:v>
                </c:pt>
                <c:pt idx="28">
                  <c:v>P1 M3 A4 M6</c:v>
                </c:pt>
                <c:pt idx="29">
                  <c:v>P1 M3 m7</c:v>
                </c:pt>
                <c:pt idx="30">
                  <c:v>P1 m3 P4 m7</c:v>
                </c:pt>
                <c:pt idx="31">
                  <c:v>P1 m3 d5 m7</c:v>
                </c:pt>
                <c:pt idx="32">
                  <c:v>P1 M2 P4 m7</c:v>
                </c:pt>
                <c:pt idx="33">
                  <c:v>P1 M3 M7</c:v>
                </c:pt>
                <c:pt idx="34">
                  <c:v>P1 A4 M6</c:v>
                </c:pt>
                <c:pt idx="35">
                  <c:v>P1 M2 M3 P5</c:v>
                </c:pt>
                <c:pt idx="36">
                  <c:v>P1 M3 P4</c:v>
                </c:pt>
                <c:pt idx="37">
                  <c:v>P1 P5 m7</c:v>
                </c:pt>
                <c:pt idx="38">
                  <c:v>P1 P4 m6</c:v>
                </c:pt>
                <c:pt idx="39">
                  <c:v>P1 M6</c:v>
                </c:pt>
                <c:pt idx="40">
                  <c:v>P1 m2 d5 m7</c:v>
                </c:pt>
                <c:pt idx="41">
                  <c:v>P1 m3 P4 P5</c:v>
                </c:pt>
                <c:pt idx="42">
                  <c:v>P1 m3 d5</c:v>
                </c:pt>
                <c:pt idx="43">
                  <c:v>P1 m3 P4</c:v>
                </c:pt>
                <c:pt idx="44">
                  <c:v>P1 P4 m7</c:v>
                </c:pt>
                <c:pt idx="45">
                  <c:v>P1 d5 m6 m7</c:v>
                </c:pt>
                <c:pt idx="46">
                  <c:v>P1 P4 P5 m7</c:v>
                </c:pt>
                <c:pt idx="47">
                  <c:v>P1 m2 P4 m7</c:v>
                </c:pt>
                <c:pt idx="48">
                  <c:v>P1 m3 P4 m6</c:v>
                </c:pt>
                <c:pt idx="49">
                  <c:v>P1 P4 M6 M7</c:v>
                </c:pt>
                <c:pt idx="50">
                  <c:v>P1 A4 P5</c:v>
                </c:pt>
                <c:pt idx="51">
                  <c:v>P1 M2 P4 m6</c:v>
                </c:pt>
                <c:pt idx="52">
                  <c:v>P1 m3 m6 m7</c:v>
                </c:pt>
                <c:pt idx="53">
                  <c:v>P1 M3 P4 M6</c:v>
                </c:pt>
                <c:pt idx="54">
                  <c:v>P1 M2 A4</c:v>
                </c:pt>
                <c:pt idx="55">
                  <c:v>P1 M2 P4 M7</c:v>
                </c:pt>
                <c:pt idx="56">
                  <c:v>P1 M3 P4 m7</c:v>
                </c:pt>
                <c:pt idx="57">
                  <c:v>P1 M2 M3</c:v>
                </c:pt>
                <c:pt idx="58">
                  <c:v>P1 M2 M3 m7</c:v>
                </c:pt>
                <c:pt idx="59">
                  <c:v>P1 P4 P5 M6</c:v>
                </c:pt>
                <c:pt idx="60">
                  <c:v>P1 m2 P4</c:v>
                </c:pt>
                <c:pt idx="61">
                  <c:v>P1 M2</c:v>
                </c:pt>
                <c:pt idx="62">
                  <c:v>P1 M2 M6 M7</c:v>
                </c:pt>
                <c:pt idx="63">
                  <c:v>P1 m3 d5 d7</c:v>
                </c:pt>
                <c:pt idx="64">
                  <c:v>P1 m7</c:v>
                </c:pt>
                <c:pt idx="65">
                  <c:v>P1 P5 M6</c:v>
                </c:pt>
                <c:pt idx="66">
                  <c:v>P1 M3 m6</c:v>
                </c:pt>
                <c:pt idx="67">
                  <c:v>P1 M3 M6 m7</c:v>
                </c:pt>
                <c:pt idx="68">
                  <c:v>P1 m3 P4 M6</c:v>
                </c:pt>
                <c:pt idx="69">
                  <c:v>P1 M3 A6</c:v>
                </c:pt>
                <c:pt idx="70">
                  <c:v>P1 M2 m3 m7</c:v>
                </c:pt>
                <c:pt idx="71">
                  <c:v>P1 m2 d5</c:v>
                </c:pt>
                <c:pt idx="72">
                  <c:v>P1 m3 P5 m6</c:v>
                </c:pt>
                <c:pt idx="73">
                  <c:v>P1 A2 A4 M7</c:v>
                </c:pt>
                <c:pt idx="74">
                  <c:v>P1 m2 m3 m7</c:v>
                </c:pt>
                <c:pt idx="75">
                  <c:v>P1 P4 M6 m7</c:v>
                </c:pt>
                <c:pt idx="76">
                  <c:v>P1 m6</c:v>
                </c:pt>
                <c:pt idx="77">
                  <c:v>P1 m2 m3 P4</c:v>
                </c:pt>
                <c:pt idx="78">
                  <c:v>P1 M3 M6 M7</c:v>
                </c:pt>
                <c:pt idx="79">
                  <c:v>P1 M3 P4 P5</c:v>
                </c:pt>
              </c:strCache>
            </c:strRef>
          </c:cat>
          <c:val>
            <c:numRef>
              <c:f>Chords!$B$2:$B$81</c:f>
              <c:numCache>
                <c:formatCode>#,##0</c:formatCode>
                <c:ptCount val="80"/>
                <c:pt idx="0">
                  <c:v>6651</c:v>
                </c:pt>
                <c:pt idx="1">
                  <c:v>4003</c:v>
                </c:pt>
                <c:pt idx="2">
                  <c:v>1425</c:v>
                </c:pt>
                <c:pt idx="3">
                  <c:v>546</c:v>
                </c:pt>
                <c:pt idx="4">
                  <c:v>539</c:v>
                </c:pt>
                <c:pt idx="5">
                  <c:v>430</c:v>
                </c:pt>
                <c:pt idx="6">
                  <c:v>425</c:v>
                </c:pt>
                <c:pt idx="7">
                  <c:v>155</c:v>
                </c:pt>
                <c:pt idx="8">
                  <c:v>54</c:v>
                </c:pt>
                <c:pt idx="9">
                  <c:v>48</c:v>
                </c:pt>
                <c:pt idx="10">
                  <c:v>33</c:v>
                </c:pt>
                <c:pt idx="11">
                  <c:v>32</c:v>
                </c:pt>
                <c:pt idx="12">
                  <c:v>32</c:v>
                </c:pt>
                <c:pt idx="13">
                  <c:v>29</c:v>
                </c:pt>
                <c:pt idx="14">
                  <c:v>27</c:v>
                </c:pt>
                <c:pt idx="15">
                  <c:v>26</c:v>
                </c:pt>
                <c:pt idx="16">
                  <c:v>25</c:v>
                </c:pt>
                <c:pt idx="17">
                  <c:v>25</c:v>
                </c:pt>
                <c:pt idx="18">
                  <c:v>22</c:v>
                </c:pt>
                <c:pt idx="19">
                  <c:v>20</c:v>
                </c:pt>
                <c:pt idx="20">
                  <c:v>20</c:v>
                </c:pt>
                <c:pt idx="21">
                  <c:v>17</c:v>
                </c:pt>
                <c:pt idx="22">
                  <c:v>16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14</c:v>
                </c:pt>
                <c:pt idx="27">
                  <c:v>14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7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8-476A-AF62-7B8979D60AFD}"/>
            </c:ext>
          </c:extLst>
        </c:ser>
        <c:ser>
          <c:idx val="2"/>
          <c:order val="1"/>
          <c:tx>
            <c:v>difference to absolute chord quantity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Chords!$A$2:$A$81</c:f>
              <c:strCache>
                <c:ptCount val="80"/>
                <c:pt idx="0">
                  <c:v>P1
M3
P5</c:v>
                </c:pt>
                <c:pt idx="1">
                  <c:v>P1
m3
P5</c:v>
                </c:pt>
                <c:pt idx="2">
                  <c:v>P1
m3
m6</c:v>
                </c:pt>
                <c:pt idx="3">
                  <c:v>P1
P4
P5</c:v>
                </c:pt>
                <c:pt idx="4">
                  <c:v>P1
M3
M6</c:v>
                </c:pt>
                <c:pt idx="5">
                  <c:v>P1
M3</c:v>
                </c:pt>
                <c:pt idx="6">
                  <c:v>P1
m3
M6</c:v>
                </c:pt>
                <c:pt idx="7">
                  <c:v>P1
m3</c:v>
                </c:pt>
                <c:pt idx="8">
                  <c:v>P1
M2
P5
M7</c:v>
                </c:pt>
                <c:pt idx="9">
                  <c:v>P1
M3
P5
M6</c:v>
                </c:pt>
                <c:pt idx="10">
                  <c:v>P1
P4
M6</c:v>
                </c:pt>
                <c:pt idx="11">
                  <c:v>P1
m3
P5
m7</c:v>
                </c:pt>
                <c:pt idx="12">
                  <c:v>P1
M3
P5
m7</c:v>
                </c:pt>
                <c:pt idx="13">
                  <c:v>P1
M2
P5</c:v>
                </c:pt>
                <c:pt idx="14">
                  <c:v>P1
m3
d5
m6</c:v>
                </c:pt>
                <c:pt idx="15">
                  <c:v>P1
M3
P5
M7</c:v>
                </c:pt>
                <c:pt idx="16">
                  <c:v>P1
P5</c:v>
                </c:pt>
                <c:pt idx="17">
                  <c:v>P1 m3 P5 M6</c:v>
                </c:pt>
                <c:pt idx="18">
                  <c:v>P1</c:v>
                </c:pt>
                <c:pt idx="19">
                  <c:v>P1 m2 P4 m6</c:v>
                </c:pt>
                <c:pt idx="20">
                  <c:v>P1 M2 m3 P5</c:v>
                </c:pt>
                <c:pt idx="21">
                  <c:v>P1 M2 P4 P5</c:v>
                </c:pt>
                <c:pt idx="22">
                  <c:v>P1 P4</c:v>
                </c:pt>
                <c:pt idx="23">
                  <c:v>P1 m3 m7</c:v>
                </c:pt>
                <c:pt idx="24">
                  <c:v>P1 M2 P4</c:v>
                </c:pt>
                <c:pt idx="25">
                  <c:v>P1 M2 P4 M6</c:v>
                </c:pt>
                <c:pt idx="26">
                  <c:v>P1 M2 A4 M6</c:v>
                </c:pt>
                <c:pt idx="27">
                  <c:v>P1 M2 P5 m7</c:v>
                </c:pt>
                <c:pt idx="28">
                  <c:v>P1 M3 A4 M6</c:v>
                </c:pt>
                <c:pt idx="29">
                  <c:v>P1 M3 m7</c:v>
                </c:pt>
                <c:pt idx="30">
                  <c:v>P1 m3 P4 m7</c:v>
                </c:pt>
                <c:pt idx="31">
                  <c:v>P1 m3 d5 m7</c:v>
                </c:pt>
                <c:pt idx="32">
                  <c:v>P1 M2 P4 m7</c:v>
                </c:pt>
                <c:pt idx="33">
                  <c:v>P1 M3 M7</c:v>
                </c:pt>
                <c:pt idx="34">
                  <c:v>P1 A4 M6</c:v>
                </c:pt>
                <c:pt idx="35">
                  <c:v>P1 M2 M3 P5</c:v>
                </c:pt>
                <c:pt idx="36">
                  <c:v>P1 M3 P4</c:v>
                </c:pt>
                <c:pt idx="37">
                  <c:v>P1 P5 m7</c:v>
                </c:pt>
                <c:pt idx="38">
                  <c:v>P1 P4 m6</c:v>
                </c:pt>
                <c:pt idx="39">
                  <c:v>P1 M6</c:v>
                </c:pt>
                <c:pt idx="40">
                  <c:v>P1 m2 d5 m7</c:v>
                </c:pt>
                <c:pt idx="41">
                  <c:v>P1 m3 P4 P5</c:v>
                </c:pt>
                <c:pt idx="42">
                  <c:v>P1 m3 d5</c:v>
                </c:pt>
                <c:pt idx="43">
                  <c:v>P1 m3 P4</c:v>
                </c:pt>
                <c:pt idx="44">
                  <c:v>P1 P4 m7</c:v>
                </c:pt>
                <c:pt idx="45">
                  <c:v>P1 d5 m6 m7</c:v>
                </c:pt>
                <c:pt idx="46">
                  <c:v>P1 P4 P5 m7</c:v>
                </c:pt>
                <c:pt idx="47">
                  <c:v>P1 m2 P4 m7</c:v>
                </c:pt>
                <c:pt idx="48">
                  <c:v>P1 m3 P4 m6</c:v>
                </c:pt>
                <c:pt idx="49">
                  <c:v>P1 P4 M6 M7</c:v>
                </c:pt>
                <c:pt idx="50">
                  <c:v>P1 A4 P5</c:v>
                </c:pt>
                <c:pt idx="51">
                  <c:v>P1 M2 P4 m6</c:v>
                </c:pt>
                <c:pt idx="52">
                  <c:v>P1 m3 m6 m7</c:v>
                </c:pt>
                <c:pt idx="53">
                  <c:v>P1 M3 P4 M6</c:v>
                </c:pt>
                <c:pt idx="54">
                  <c:v>P1 M2 A4</c:v>
                </c:pt>
                <c:pt idx="55">
                  <c:v>P1 M2 P4 M7</c:v>
                </c:pt>
                <c:pt idx="56">
                  <c:v>P1 M3 P4 m7</c:v>
                </c:pt>
                <c:pt idx="57">
                  <c:v>P1 M2 M3</c:v>
                </c:pt>
                <c:pt idx="58">
                  <c:v>P1 M2 M3 m7</c:v>
                </c:pt>
                <c:pt idx="59">
                  <c:v>P1 P4 P5 M6</c:v>
                </c:pt>
                <c:pt idx="60">
                  <c:v>P1 m2 P4</c:v>
                </c:pt>
                <c:pt idx="61">
                  <c:v>P1 M2</c:v>
                </c:pt>
                <c:pt idx="62">
                  <c:v>P1 M2 M6 M7</c:v>
                </c:pt>
                <c:pt idx="63">
                  <c:v>P1 m3 d5 d7</c:v>
                </c:pt>
                <c:pt idx="64">
                  <c:v>P1 m7</c:v>
                </c:pt>
                <c:pt idx="65">
                  <c:v>P1 P5 M6</c:v>
                </c:pt>
                <c:pt idx="66">
                  <c:v>P1 M3 m6</c:v>
                </c:pt>
                <c:pt idx="67">
                  <c:v>P1 M3 M6 m7</c:v>
                </c:pt>
                <c:pt idx="68">
                  <c:v>P1 m3 P4 M6</c:v>
                </c:pt>
                <c:pt idx="69">
                  <c:v>P1 M3 A6</c:v>
                </c:pt>
                <c:pt idx="70">
                  <c:v>P1 M2 m3 m7</c:v>
                </c:pt>
                <c:pt idx="71">
                  <c:v>P1 m2 d5</c:v>
                </c:pt>
                <c:pt idx="72">
                  <c:v>P1 m3 P5 m6</c:v>
                </c:pt>
                <c:pt idx="73">
                  <c:v>P1 A2 A4 M7</c:v>
                </c:pt>
                <c:pt idx="74">
                  <c:v>P1 m2 m3 m7</c:v>
                </c:pt>
                <c:pt idx="75">
                  <c:v>P1 P4 M6 m7</c:v>
                </c:pt>
                <c:pt idx="76">
                  <c:v>P1 m6</c:v>
                </c:pt>
                <c:pt idx="77">
                  <c:v>P1 m2 m3 P4</c:v>
                </c:pt>
                <c:pt idx="78">
                  <c:v>P1 M3 M6 M7</c:v>
                </c:pt>
                <c:pt idx="79">
                  <c:v>P1 M3 P4 P5</c:v>
                </c:pt>
              </c:strCache>
            </c:strRef>
          </c:cat>
          <c:val>
            <c:numRef>
              <c:f>Chords!$F$2:$F$81</c:f>
              <c:numCache>
                <c:formatCode>#,##0.0</c:formatCode>
                <c:ptCount val="80"/>
                <c:pt idx="0">
                  <c:v>547</c:v>
                </c:pt>
                <c:pt idx="1">
                  <c:v>290.5</c:v>
                </c:pt>
                <c:pt idx="2">
                  <c:v>150</c:v>
                </c:pt>
                <c:pt idx="3">
                  <c:v>12</c:v>
                </c:pt>
                <c:pt idx="4">
                  <c:v>59.5</c:v>
                </c:pt>
                <c:pt idx="5">
                  <c:v>14</c:v>
                </c:pt>
                <c:pt idx="6">
                  <c:v>113.5</c:v>
                </c:pt>
                <c:pt idx="7">
                  <c:v>5</c:v>
                </c:pt>
                <c:pt idx="8">
                  <c:v>20.5</c:v>
                </c:pt>
                <c:pt idx="9">
                  <c:v>2</c:v>
                </c:pt>
                <c:pt idx="10">
                  <c:v>6.5</c:v>
                </c:pt>
                <c:pt idx="11">
                  <c:v>6</c:v>
                </c:pt>
                <c:pt idx="12">
                  <c:v>10.5</c:v>
                </c:pt>
                <c:pt idx="13">
                  <c:v>12</c:v>
                </c:pt>
                <c:pt idx="14">
                  <c:v>7.5</c:v>
                </c:pt>
                <c:pt idx="15">
                  <c:v>11</c:v>
                </c:pt>
                <c:pt idx="16">
                  <c:v>1.5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6.5</c:v>
                </c:pt>
                <c:pt idx="21">
                  <c:v>5.5</c:v>
                </c:pt>
                <c:pt idx="22">
                  <c:v>5</c:v>
                </c:pt>
                <c:pt idx="23">
                  <c:v>1</c:v>
                </c:pt>
                <c:pt idx="24">
                  <c:v>4.5</c:v>
                </c:pt>
                <c:pt idx="25">
                  <c:v>5</c:v>
                </c:pt>
                <c:pt idx="26">
                  <c:v>4.5</c:v>
                </c:pt>
                <c:pt idx="27">
                  <c:v>5.5</c:v>
                </c:pt>
                <c:pt idx="28">
                  <c:v>3</c:v>
                </c:pt>
                <c:pt idx="29">
                  <c:v>3</c:v>
                </c:pt>
                <c:pt idx="30">
                  <c:v>3.5</c:v>
                </c:pt>
                <c:pt idx="31">
                  <c:v>3</c:v>
                </c:pt>
                <c:pt idx="32">
                  <c:v>4</c:v>
                </c:pt>
                <c:pt idx="33">
                  <c:v>0.5</c:v>
                </c:pt>
                <c:pt idx="34">
                  <c:v>3</c:v>
                </c:pt>
                <c:pt idx="35">
                  <c:v>0</c:v>
                </c:pt>
                <c:pt idx="36">
                  <c:v>3.5</c:v>
                </c:pt>
                <c:pt idx="37">
                  <c:v>1</c:v>
                </c:pt>
                <c:pt idx="38">
                  <c:v>1.5</c:v>
                </c:pt>
                <c:pt idx="39">
                  <c:v>1.5</c:v>
                </c:pt>
                <c:pt idx="40">
                  <c:v>2</c:v>
                </c:pt>
                <c:pt idx="41">
                  <c:v>0.5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0.5</c:v>
                </c:pt>
                <c:pt idx="47">
                  <c:v>1.5</c:v>
                </c:pt>
                <c:pt idx="48">
                  <c:v>1.5</c:v>
                </c:pt>
                <c:pt idx="49">
                  <c:v>0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18-476A-AF62-7B8979D60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0597647"/>
        <c:axId val="1658290111"/>
        <c:extLst>
          <c:ext xmlns:c15="http://schemas.microsoft.com/office/drawing/2012/chart" uri="{02D57815-91ED-43cb-92C2-25804820EDAC}">
            <c15:filteredBarSeries>
              <c15:ser>
                <c:idx val="1"/>
                <c:order val="2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Chords!$A$2:$A$81</c15:sqref>
                        </c15:formulaRef>
                      </c:ext>
                    </c:extLst>
                    <c:strCache>
                      <c:ptCount val="80"/>
                      <c:pt idx="0">
                        <c:v>P1
M3
P5</c:v>
                      </c:pt>
                      <c:pt idx="1">
                        <c:v>P1
m3
P5</c:v>
                      </c:pt>
                      <c:pt idx="2">
                        <c:v>P1
m3
m6</c:v>
                      </c:pt>
                      <c:pt idx="3">
                        <c:v>P1
P4
P5</c:v>
                      </c:pt>
                      <c:pt idx="4">
                        <c:v>P1
M3
M6</c:v>
                      </c:pt>
                      <c:pt idx="5">
                        <c:v>P1
M3</c:v>
                      </c:pt>
                      <c:pt idx="6">
                        <c:v>P1
m3
M6</c:v>
                      </c:pt>
                      <c:pt idx="7">
                        <c:v>P1
m3</c:v>
                      </c:pt>
                      <c:pt idx="8">
                        <c:v>P1
M2
P5
M7</c:v>
                      </c:pt>
                      <c:pt idx="9">
                        <c:v>P1
M3
P5
M6</c:v>
                      </c:pt>
                      <c:pt idx="10">
                        <c:v>P1
P4
M6</c:v>
                      </c:pt>
                      <c:pt idx="11">
                        <c:v>P1
m3
P5
m7</c:v>
                      </c:pt>
                      <c:pt idx="12">
                        <c:v>P1
M3
P5
m7</c:v>
                      </c:pt>
                      <c:pt idx="13">
                        <c:v>P1
M2
P5</c:v>
                      </c:pt>
                      <c:pt idx="14">
                        <c:v>P1
m3
d5
m6</c:v>
                      </c:pt>
                      <c:pt idx="15">
                        <c:v>P1
M3
P5
M7</c:v>
                      </c:pt>
                      <c:pt idx="16">
                        <c:v>P1
P5</c:v>
                      </c:pt>
                      <c:pt idx="17">
                        <c:v>P1 m3 P5 M6</c:v>
                      </c:pt>
                      <c:pt idx="18">
                        <c:v>P1</c:v>
                      </c:pt>
                      <c:pt idx="19">
                        <c:v>P1 m2 P4 m6</c:v>
                      </c:pt>
                      <c:pt idx="20">
                        <c:v>P1 M2 m3 P5</c:v>
                      </c:pt>
                      <c:pt idx="21">
                        <c:v>P1 M2 P4 P5</c:v>
                      </c:pt>
                      <c:pt idx="22">
                        <c:v>P1 P4</c:v>
                      </c:pt>
                      <c:pt idx="23">
                        <c:v>P1 m3 m7</c:v>
                      </c:pt>
                      <c:pt idx="24">
                        <c:v>P1 M2 P4</c:v>
                      </c:pt>
                      <c:pt idx="25">
                        <c:v>P1 M2 P4 M6</c:v>
                      </c:pt>
                      <c:pt idx="26">
                        <c:v>P1 M2 A4 M6</c:v>
                      </c:pt>
                      <c:pt idx="27">
                        <c:v>P1 M2 P5 m7</c:v>
                      </c:pt>
                      <c:pt idx="28">
                        <c:v>P1 M3 A4 M6</c:v>
                      </c:pt>
                      <c:pt idx="29">
                        <c:v>P1 M3 m7</c:v>
                      </c:pt>
                      <c:pt idx="30">
                        <c:v>P1 m3 P4 m7</c:v>
                      </c:pt>
                      <c:pt idx="31">
                        <c:v>P1 m3 d5 m7</c:v>
                      </c:pt>
                      <c:pt idx="32">
                        <c:v>P1 M2 P4 m7</c:v>
                      </c:pt>
                      <c:pt idx="33">
                        <c:v>P1 M3 M7</c:v>
                      </c:pt>
                      <c:pt idx="34">
                        <c:v>P1 A4 M6</c:v>
                      </c:pt>
                      <c:pt idx="35">
                        <c:v>P1 M2 M3 P5</c:v>
                      </c:pt>
                      <c:pt idx="36">
                        <c:v>P1 M3 P4</c:v>
                      </c:pt>
                      <c:pt idx="37">
                        <c:v>P1 P5 m7</c:v>
                      </c:pt>
                      <c:pt idx="38">
                        <c:v>P1 P4 m6</c:v>
                      </c:pt>
                      <c:pt idx="39">
                        <c:v>P1 M6</c:v>
                      </c:pt>
                      <c:pt idx="40">
                        <c:v>P1 m2 d5 m7</c:v>
                      </c:pt>
                      <c:pt idx="41">
                        <c:v>P1 m3 P4 P5</c:v>
                      </c:pt>
                      <c:pt idx="42">
                        <c:v>P1 m3 d5</c:v>
                      </c:pt>
                      <c:pt idx="43">
                        <c:v>P1 m3 P4</c:v>
                      </c:pt>
                      <c:pt idx="44">
                        <c:v>P1 P4 m7</c:v>
                      </c:pt>
                      <c:pt idx="45">
                        <c:v>P1 d5 m6 m7</c:v>
                      </c:pt>
                      <c:pt idx="46">
                        <c:v>P1 P4 P5 m7</c:v>
                      </c:pt>
                      <c:pt idx="47">
                        <c:v>P1 m2 P4 m7</c:v>
                      </c:pt>
                      <c:pt idx="48">
                        <c:v>P1 m3 P4 m6</c:v>
                      </c:pt>
                      <c:pt idx="49">
                        <c:v>P1 P4 M6 M7</c:v>
                      </c:pt>
                      <c:pt idx="50">
                        <c:v>P1 A4 P5</c:v>
                      </c:pt>
                      <c:pt idx="51">
                        <c:v>P1 M2 P4 m6</c:v>
                      </c:pt>
                      <c:pt idx="52">
                        <c:v>P1 m3 m6 m7</c:v>
                      </c:pt>
                      <c:pt idx="53">
                        <c:v>P1 M3 P4 M6</c:v>
                      </c:pt>
                      <c:pt idx="54">
                        <c:v>P1 M2 A4</c:v>
                      </c:pt>
                      <c:pt idx="55">
                        <c:v>P1 M2 P4 M7</c:v>
                      </c:pt>
                      <c:pt idx="56">
                        <c:v>P1 M3 P4 m7</c:v>
                      </c:pt>
                      <c:pt idx="57">
                        <c:v>P1 M2 M3</c:v>
                      </c:pt>
                      <c:pt idx="58">
                        <c:v>P1 M2 M3 m7</c:v>
                      </c:pt>
                      <c:pt idx="59">
                        <c:v>P1 P4 P5 M6</c:v>
                      </c:pt>
                      <c:pt idx="60">
                        <c:v>P1 m2 P4</c:v>
                      </c:pt>
                      <c:pt idx="61">
                        <c:v>P1 M2</c:v>
                      </c:pt>
                      <c:pt idx="62">
                        <c:v>P1 M2 M6 M7</c:v>
                      </c:pt>
                      <c:pt idx="63">
                        <c:v>P1 m3 d5 d7</c:v>
                      </c:pt>
                      <c:pt idx="64">
                        <c:v>P1 m7</c:v>
                      </c:pt>
                      <c:pt idx="65">
                        <c:v>P1 P5 M6</c:v>
                      </c:pt>
                      <c:pt idx="66">
                        <c:v>P1 M3 m6</c:v>
                      </c:pt>
                      <c:pt idx="67">
                        <c:v>P1 M3 M6 m7</c:v>
                      </c:pt>
                      <c:pt idx="68">
                        <c:v>P1 m3 P4 M6</c:v>
                      </c:pt>
                      <c:pt idx="69">
                        <c:v>P1 M3 A6</c:v>
                      </c:pt>
                      <c:pt idx="70">
                        <c:v>P1 M2 m3 m7</c:v>
                      </c:pt>
                      <c:pt idx="71">
                        <c:v>P1 m2 d5</c:v>
                      </c:pt>
                      <c:pt idx="72">
                        <c:v>P1 m3 P5 m6</c:v>
                      </c:pt>
                      <c:pt idx="73">
                        <c:v>P1 A2 A4 M7</c:v>
                      </c:pt>
                      <c:pt idx="74">
                        <c:v>P1 m2 m3 m7</c:v>
                      </c:pt>
                      <c:pt idx="75">
                        <c:v>P1 P4 M6 m7</c:v>
                      </c:pt>
                      <c:pt idx="76">
                        <c:v>P1 m6</c:v>
                      </c:pt>
                      <c:pt idx="77">
                        <c:v>P1 m2 m3 P4</c:v>
                      </c:pt>
                      <c:pt idx="78">
                        <c:v>P1 M3 M6 M7</c:v>
                      </c:pt>
                      <c:pt idx="79">
                        <c:v>P1 M3 P4 P5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Chords!$D$2:$D$81</c15:sqref>
                        </c15:formulaRef>
                      </c:ext>
                    </c:extLst>
                    <c:numCache>
                      <c:formatCode>#,##0.0</c:formatCode>
                      <c:ptCount val="80"/>
                      <c:pt idx="0">
                        <c:v>6104</c:v>
                      </c:pt>
                      <c:pt idx="1">
                        <c:v>3712.5</c:v>
                      </c:pt>
                      <c:pt idx="2">
                        <c:v>1275</c:v>
                      </c:pt>
                      <c:pt idx="3">
                        <c:v>534</c:v>
                      </c:pt>
                      <c:pt idx="4">
                        <c:v>479.5</c:v>
                      </c:pt>
                      <c:pt idx="5">
                        <c:v>416</c:v>
                      </c:pt>
                      <c:pt idx="6">
                        <c:v>311.5</c:v>
                      </c:pt>
                      <c:pt idx="7">
                        <c:v>150</c:v>
                      </c:pt>
                      <c:pt idx="8">
                        <c:v>33.5</c:v>
                      </c:pt>
                      <c:pt idx="9">
                        <c:v>46</c:v>
                      </c:pt>
                      <c:pt idx="10">
                        <c:v>26.5</c:v>
                      </c:pt>
                      <c:pt idx="11">
                        <c:v>26</c:v>
                      </c:pt>
                      <c:pt idx="12">
                        <c:v>21.5</c:v>
                      </c:pt>
                      <c:pt idx="13">
                        <c:v>17</c:v>
                      </c:pt>
                      <c:pt idx="14">
                        <c:v>19.5</c:v>
                      </c:pt>
                      <c:pt idx="15">
                        <c:v>15</c:v>
                      </c:pt>
                      <c:pt idx="16">
                        <c:v>23.5</c:v>
                      </c:pt>
                      <c:pt idx="17">
                        <c:v>23</c:v>
                      </c:pt>
                      <c:pt idx="18">
                        <c:v>19</c:v>
                      </c:pt>
                      <c:pt idx="19">
                        <c:v>15</c:v>
                      </c:pt>
                      <c:pt idx="20">
                        <c:v>13.5</c:v>
                      </c:pt>
                      <c:pt idx="21">
                        <c:v>11.5</c:v>
                      </c:pt>
                      <c:pt idx="22">
                        <c:v>11</c:v>
                      </c:pt>
                      <c:pt idx="23">
                        <c:v>14</c:v>
                      </c:pt>
                      <c:pt idx="24">
                        <c:v>10.5</c:v>
                      </c:pt>
                      <c:pt idx="25">
                        <c:v>10</c:v>
                      </c:pt>
                      <c:pt idx="26">
                        <c:v>9.5</c:v>
                      </c:pt>
                      <c:pt idx="27">
                        <c:v>8.5</c:v>
                      </c:pt>
                      <c:pt idx="28">
                        <c:v>7</c:v>
                      </c:pt>
                      <c:pt idx="29">
                        <c:v>7</c:v>
                      </c:pt>
                      <c:pt idx="30">
                        <c:v>6.5</c:v>
                      </c:pt>
                      <c:pt idx="31">
                        <c:v>6</c:v>
                      </c:pt>
                      <c:pt idx="32">
                        <c:v>5</c:v>
                      </c:pt>
                      <c:pt idx="33">
                        <c:v>7.5</c:v>
                      </c:pt>
                      <c:pt idx="34">
                        <c:v>5</c:v>
                      </c:pt>
                      <c:pt idx="35">
                        <c:v>7</c:v>
                      </c:pt>
                      <c:pt idx="36">
                        <c:v>3.5</c:v>
                      </c:pt>
                      <c:pt idx="37">
                        <c:v>5</c:v>
                      </c:pt>
                      <c:pt idx="38">
                        <c:v>4.5</c:v>
                      </c:pt>
                      <c:pt idx="39">
                        <c:v>4.5</c:v>
                      </c:pt>
                      <c:pt idx="40">
                        <c:v>4</c:v>
                      </c:pt>
                      <c:pt idx="41">
                        <c:v>4.5</c:v>
                      </c:pt>
                      <c:pt idx="42">
                        <c:v>4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3</c:v>
                      </c:pt>
                      <c:pt idx="46">
                        <c:v>2.5</c:v>
                      </c:pt>
                      <c:pt idx="47">
                        <c:v>1.5</c:v>
                      </c:pt>
                      <c:pt idx="48">
                        <c:v>1.5</c:v>
                      </c:pt>
                      <c:pt idx="49">
                        <c:v>2</c:v>
                      </c:pt>
                      <c:pt idx="50">
                        <c:v>1.5</c:v>
                      </c:pt>
                      <c:pt idx="51">
                        <c:v>1.5</c:v>
                      </c:pt>
                      <c:pt idx="52">
                        <c:v>1.5</c:v>
                      </c:pt>
                      <c:pt idx="53">
                        <c:v>1.5</c:v>
                      </c:pt>
                      <c:pt idx="54">
                        <c:v>1.5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0.5</c:v>
                      </c:pt>
                      <c:pt idx="67">
                        <c:v>0.5</c:v>
                      </c:pt>
                      <c:pt idx="68">
                        <c:v>0.5</c:v>
                      </c:pt>
                      <c:pt idx="69">
                        <c:v>0.5</c:v>
                      </c:pt>
                      <c:pt idx="70">
                        <c:v>0.5</c:v>
                      </c:pt>
                      <c:pt idx="71">
                        <c:v>0.5</c:v>
                      </c:pt>
                      <c:pt idx="72">
                        <c:v>0.5</c:v>
                      </c:pt>
                      <c:pt idx="73">
                        <c:v>0.5</c:v>
                      </c:pt>
                      <c:pt idx="74">
                        <c:v>0.5</c:v>
                      </c:pt>
                      <c:pt idx="75">
                        <c:v>0.5</c:v>
                      </c:pt>
                      <c:pt idx="76">
                        <c:v>0.5</c:v>
                      </c:pt>
                      <c:pt idx="77">
                        <c:v>0.5</c:v>
                      </c:pt>
                      <c:pt idx="78">
                        <c:v>0.5</c:v>
                      </c:pt>
                      <c:pt idx="79">
                        <c:v>0.5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818-476A-AF62-7B8979D60AFD}"/>
                  </c:ext>
                </c:extLst>
              </c15:ser>
            </c15:filteredBarSeries>
          </c:ext>
        </c:extLst>
      </c:barChart>
      <c:catAx>
        <c:axId val="90597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chord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8290111"/>
        <c:crosses val="autoZero"/>
        <c:auto val="1"/>
        <c:lblAlgn val="ctr"/>
        <c:lblOffset val="100"/>
        <c:noMultiLvlLbl val="0"/>
      </c:catAx>
      <c:valAx>
        <c:axId val="16582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absolute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59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relative count of chords with equal weighting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Chords!$A$2:$A$81</c:f>
              <c:strCache>
                <c:ptCount val="80"/>
                <c:pt idx="0">
                  <c:v>P1
M3
P5</c:v>
                </c:pt>
                <c:pt idx="1">
                  <c:v>P1
m3
P5</c:v>
                </c:pt>
                <c:pt idx="2">
                  <c:v>P1
m3
m6</c:v>
                </c:pt>
                <c:pt idx="3">
                  <c:v>P1
P4
P5</c:v>
                </c:pt>
                <c:pt idx="4">
                  <c:v>P1
M3
M6</c:v>
                </c:pt>
                <c:pt idx="5">
                  <c:v>P1
M3</c:v>
                </c:pt>
                <c:pt idx="6">
                  <c:v>P1
m3
M6</c:v>
                </c:pt>
                <c:pt idx="7">
                  <c:v>P1
m3</c:v>
                </c:pt>
                <c:pt idx="8">
                  <c:v>P1
M2
P5
M7</c:v>
                </c:pt>
                <c:pt idx="9">
                  <c:v>P1
M3
P5
M6</c:v>
                </c:pt>
                <c:pt idx="10">
                  <c:v>P1
P4
M6</c:v>
                </c:pt>
                <c:pt idx="11">
                  <c:v>P1
m3
P5
m7</c:v>
                </c:pt>
                <c:pt idx="12">
                  <c:v>P1
M3
P5
m7</c:v>
                </c:pt>
                <c:pt idx="13">
                  <c:v>P1
M2
P5</c:v>
                </c:pt>
                <c:pt idx="14">
                  <c:v>P1
m3
d5
m6</c:v>
                </c:pt>
                <c:pt idx="15">
                  <c:v>P1
M3
P5
M7</c:v>
                </c:pt>
                <c:pt idx="16">
                  <c:v>P1
P5</c:v>
                </c:pt>
                <c:pt idx="17">
                  <c:v>P1 m3 P5 M6</c:v>
                </c:pt>
                <c:pt idx="18">
                  <c:v>P1</c:v>
                </c:pt>
                <c:pt idx="19">
                  <c:v>P1 m2 P4 m6</c:v>
                </c:pt>
                <c:pt idx="20">
                  <c:v>P1 M2 m3 P5</c:v>
                </c:pt>
                <c:pt idx="21">
                  <c:v>P1 M2 P4 P5</c:v>
                </c:pt>
                <c:pt idx="22">
                  <c:v>P1 P4</c:v>
                </c:pt>
                <c:pt idx="23">
                  <c:v>P1 m3 m7</c:v>
                </c:pt>
                <c:pt idx="24">
                  <c:v>P1 M2 P4</c:v>
                </c:pt>
                <c:pt idx="25">
                  <c:v>P1 M2 P4 M6</c:v>
                </c:pt>
                <c:pt idx="26">
                  <c:v>P1 M2 A4 M6</c:v>
                </c:pt>
                <c:pt idx="27">
                  <c:v>P1 M2 P5 m7</c:v>
                </c:pt>
                <c:pt idx="28">
                  <c:v>P1 M3 A4 M6</c:v>
                </c:pt>
                <c:pt idx="29">
                  <c:v>P1 M3 m7</c:v>
                </c:pt>
                <c:pt idx="30">
                  <c:v>P1 m3 P4 m7</c:v>
                </c:pt>
                <c:pt idx="31">
                  <c:v>P1 m3 d5 m7</c:v>
                </c:pt>
                <c:pt idx="32">
                  <c:v>P1 M2 P4 m7</c:v>
                </c:pt>
                <c:pt idx="33">
                  <c:v>P1 M3 M7</c:v>
                </c:pt>
                <c:pt idx="34">
                  <c:v>P1 A4 M6</c:v>
                </c:pt>
                <c:pt idx="35">
                  <c:v>P1 M2 M3 P5</c:v>
                </c:pt>
                <c:pt idx="36">
                  <c:v>P1 M3 P4</c:v>
                </c:pt>
                <c:pt idx="37">
                  <c:v>P1 P5 m7</c:v>
                </c:pt>
                <c:pt idx="38">
                  <c:v>P1 P4 m6</c:v>
                </c:pt>
                <c:pt idx="39">
                  <c:v>P1 M6</c:v>
                </c:pt>
                <c:pt idx="40">
                  <c:v>P1 m2 d5 m7</c:v>
                </c:pt>
                <c:pt idx="41">
                  <c:v>P1 m3 P4 P5</c:v>
                </c:pt>
                <c:pt idx="42">
                  <c:v>P1 m3 d5</c:v>
                </c:pt>
                <c:pt idx="43">
                  <c:v>P1 m3 P4</c:v>
                </c:pt>
                <c:pt idx="44">
                  <c:v>P1 P4 m7</c:v>
                </c:pt>
                <c:pt idx="45">
                  <c:v>P1 d5 m6 m7</c:v>
                </c:pt>
                <c:pt idx="46">
                  <c:v>P1 P4 P5 m7</c:v>
                </c:pt>
                <c:pt idx="47">
                  <c:v>P1 m2 P4 m7</c:v>
                </c:pt>
                <c:pt idx="48">
                  <c:v>P1 m3 P4 m6</c:v>
                </c:pt>
                <c:pt idx="49">
                  <c:v>P1 P4 M6 M7</c:v>
                </c:pt>
                <c:pt idx="50">
                  <c:v>P1 A4 P5</c:v>
                </c:pt>
                <c:pt idx="51">
                  <c:v>P1 M2 P4 m6</c:v>
                </c:pt>
                <c:pt idx="52">
                  <c:v>P1 m3 m6 m7</c:v>
                </c:pt>
                <c:pt idx="53">
                  <c:v>P1 M3 P4 M6</c:v>
                </c:pt>
                <c:pt idx="54">
                  <c:v>P1 M2 A4</c:v>
                </c:pt>
                <c:pt idx="55">
                  <c:v>P1 M2 P4 M7</c:v>
                </c:pt>
                <c:pt idx="56">
                  <c:v>P1 M3 P4 m7</c:v>
                </c:pt>
                <c:pt idx="57">
                  <c:v>P1 M2 M3</c:v>
                </c:pt>
                <c:pt idx="58">
                  <c:v>P1 M2 M3 m7</c:v>
                </c:pt>
                <c:pt idx="59">
                  <c:v>P1 P4 P5 M6</c:v>
                </c:pt>
                <c:pt idx="60">
                  <c:v>P1 m2 P4</c:v>
                </c:pt>
                <c:pt idx="61">
                  <c:v>P1 M2</c:v>
                </c:pt>
                <c:pt idx="62">
                  <c:v>P1 M2 M6 M7</c:v>
                </c:pt>
                <c:pt idx="63">
                  <c:v>P1 m3 d5 d7</c:v>
                </c:pt>
                <c:pt idx="64">
                  <c:v>P1 m7</c:v>
                </c:pt>
                <c:pt idx="65">
                  <c:v>P1 P5 M6</c:v>
                </c:pt>
                <c:pt idx="66">
                  <c:v>P1 M3 m6</c:v>
                </c:pt>
                <c:pt idx="67">
                  <c:v>P1 M3 M6 m7</c:v>
                </c:pt>
                <c:pt idx="68">
                  <c:v>P1 m3 P4 M6</c:v>
                </c:pt>
                <c:pt idx="69">
                  <c:v>P1 M3 A6</c:v>
                </c:pt>
                <c:pt idx="70">
                  <c:v>P1 M2 m3 m7</c:v>
                </c:pt>
                <c:pt idx="71">
                  <c:v>P1 m2 d5</c:v>
                </c:pt>
                <c:pt idx="72">
                  <c:v>P1 m3 P5 m6</c:v>
                </c:pt>
                <c:pt idx="73">
                  <c:v>P1 A2 A4 M7</c:v>
                </c:pt>
                <c:pt idx="74">
                  <c:v>P1 m2 m3 m7</c:v>
                </c:pt>
                <c:pt idx="75">
                  <c:v>P1 P4 M6 m7</c:v>
                </c:pt>
                <c:pt idx="76">
                  <c:v>P1 m6</c:v>
                </c:pt>
                <c:pt idx="77">
                  <c:v>P1 m2 m3 P4</c:v>
                </c:pt>
                <c:pt idx="78">
                  <c:v>P1 M3 M6 M7</c:v>
                </c:pt>
                <c:pt idx="79">
                  <c:v>P1 M3 P4 P5</c:v>
                </c:pt>
              </c:strCache>
            </c:strRef>
          </c:cat>
          <c:val>
            <c:numRef>
              <c:f>Chords!$C$2:$C$81</c:f>
              <c:numCache>
                <c:formatCode>0.0000</c:formatCode>
                <c:ptCount val="80"/>
                <c:pt idx="0">
                  <c:v>0.44796928672459085</c:v>
                </c:pt>
                <c:pt idx="1">
                  <c:v>0.26961675759412673</c:v>
                </c:pt>
                <c:pt idx="2">
                  <c:v>9.5978985653667401E-2</c:v>
                </c:pt>
                <c:pt idx="3">
                  <c:v>3.6775106082036775E-2</c:v>
                </c:pt>
                <c:pt idx="4">
                  <c:v>3.6303630363036306E-2</c:v>
                </c:pt>
                <c:pt idx="5">
                  <c:v>2.8962079881457534E-2</c:v>
                </c:pt>
                <c:pt idx="6">
                  <c:v>2.862531151074291E-2</c:v>
                </c:pt>
                <c:pt idx="7">
                  <c:v>1.0439819492153297E-2</c:v>
                </c:pt>
                <c:pt idx="8">
                  <c:v>3.6370984037179229E-3</c:v>
                </c:pt>
                <c:pt idx="9">
                  <c:v>3.2329763588603757E-3</c:v>
                </c:pt>
                <c:pt idx="10">
                  <c:v>2.2226712467165082E-3</c:v>
                </c:pt>
                <c:pt idx="11">
                  <c:v>2.1553175725735839E-3</c:v>
                </c:pt>
                <c:pt idx="12">
                  <c:v>2.1553175725735839E-3</c:v>
                </c:pt>
                <c:pt idx="13">
                  <c:v>1.9532565501448104E-3</c:v>
                </c:pt>
                <c:pt idx="14">
                  <c:v>1.8185492018589614E-3</c:v>
                </c:pt>
                <c:pt idx="15">
                  <c:v>1.751195527716037E-3</c:v>
                </c:pt>
                <c:pt idx="16">
                  <c:v>1.6838418535731123E-3</c:v>
                </c:pt>
                <c:pt idx="17">
                  <c:v>1.6838418535731123E-3</c:v>
                </c:pt>
                <c:pt idx="18">
                  <c:v>1.4817808311443389E-3</c:v>
                </c:pt>
                <c:pt idx="19">
                  <c:v>1.34707348285849E-3</c:v>
                </c:pt>
                <c:pt idx="20">
                  <c:v>1.34707348285849E-3</c:v>
                </c:pt>
                <c:pt idx="21">
                  <c:v>1.1450124604297164E-3</c:v>
                </c:pt>
                <c:pt idx="22">
                  <c:v>1.077658786286792E-3</c:v>
                </c:pt>
                <c:pt idx="23">
                  <c:v>1.0103051121438675E-3</c:v>
                </c:pt>
                <c:pt idx="24">
                  <c:v>1.0103051121438675E-3</c:v>
                </c:pt>
                <c:pt idx="25">
                  <c:v>1.0103051121438675E-3</c:v>
                </c:pt>
                <c:pt idx="26">
                  <c:v>9.4295143800094295E-4</c:v>
                </c:pt>
                <c:pt idx="27">
                  <c:v>9.4295143800094295E-4</c:v>
                </c:pt>
                <c:pt idx="28">
                  <c:v>6.7353674142924501E-4</c:v>
                </c:pt>
                <c:pt idx="29">
                  <c:v>6.7353674142924501E-4</c:v>
                </c:pt>
                <c:pt idx="30">
                  <c:v>6.7353674142924501E-4</c:v>
                </c:pt>
                <c:pt idx="31">
                  <c:v>6.0618306728632044E-4</c:v>
                </c:pt>
                <c:pt idx="32">
                  <c:v>6.0618306728632044E-4</c:v>
                </c:pt>
                <c:pt idx="33">
                  <c:v>5.3882939314339599E-4</c:v>
                </c:pt>
                <c:pt idx="34">
                  <c:v>5.3882939314339599E-4</c:v>
                </c:pt>
                <c:pt idx="35">
                  <c:v>4.7147571900047147E-4</c:v>
                </c:pt>
                <c:pt idx="36">
                  <c:v>4.7147571900047147E-4</c:v>
                </c:pt>
                <c:pt idx="37">
                  <c:v>4.0412204485754696E-4</c:v>
                </c:pt>
                <c:pt idx="38">
                  <c:v>4.0412204485754696E-4</c:v>
                </c:pt>
                <c:pt idx="39">
                  <c:v>4.0412204485754696E-4</c:v>
                </c:pt>
                <c:pt idx="40">
                  <c:v>4.0412204485754696E-4</c:v>
                </c:pt>
                <c:pt idx="41">
                  <c:v>3.367683707146225E-4</c:v>
                </c:pt>
                <c:pt idx="42">
                  <c:v>3.367683707146225E-4</c:v>
                </c:pt>
                <c:pt idx="43">
                  <c:v>2.6941469657169799E-4</c:v>
                </c:pt>
                <c:pt idx="44">
                  <c:v>2.6941469657169799E-4</c:v>
                </c:pt>
                <c:pt idx="45">
                  <c:v>2.0206102242877348E-4</c:v>
                </c:pt>
                <c:pt idx="46">
                  <c:v>2.0206102242877348E-4</c:v>
                </c:pt>
                <c:pt idx="47">
                  <c:v>2.0206102242877348E-4</c:v>
                </c:pt>
                <c:pt idx="48">
                  <c:v>2.0206102242877348E-4</c:v>
                </c:pt>
                <c:pt idx="49">
                  <c:v>1.34707348285849E-4</c:v>
                </c:pt>
                <c:pt idx="50">
                  <c:v>1.34707348285849E-4</c:v>
                </c:pt>
                <c:pt idx="51">
                  <c:v>1.34707348285849E-4</c:v>
                </c:pt>
                <c:pt idx="52">
                  <c:v>1.34707348285849E-4</c:v>
                </c:pt>
                <c:pt idx="53">
                  <c:v>1.34707348285849E-4</c:v>
                </c:pt>
                <c:pt idx="54">
                  <c:v>1.34707348285849E-4</c:v>
                </c:pt>
                <c:pt idx="55">
                  <c:v>1.34707348285849E-4</c:v>
                </c:pt>
                <c:pt idx="56">
                  <c:v>1.34707348285849E-4</c:v>
                </c:pt>
                <c:pt idx="57">
                  <c:v>1.34707348285849E-4</c:v>
                </c:pt>
                <c:pt idx="58">
                  <c:v>1.34707348285849E-4</c:v>
                </c:pt>
                <c:pt idx="59">
                  <c:v>1.34707348285849E-4</c:v>
                </c:pt>
                <c:pt idx="60">
                  <c:v>6.7353674142924498E-5</c:v>
                </c:pt>
                <c:pt idx="61">
                  <c:v>6.7353674142924498E-5</c:v>
                </c:pt>
                <c:pt idx="62">
                  <c:v>6.7353674142924498E-5</c:v>
                </c:pt>
                <c:pt idx="63">
                  <c:v>6.7353674142924498E-5</c:v>
                </c:pt>
                <c:pt idx="64">
                  <c:v>6.7353674142924498E-5</c:v>
                </c:pt>
                <c:pt idx="65">
                  <c:v>6.7353674142924498E-5</c:v>
                </c:pt>
                <c:pt idx="66">
                  <c:v>6.7353674142924498E-5</c:v>
                </c:pt>
                <c:pt idx="67">
                  <c:v>6.7353674142924498E-5</c:v>
                </c:pt>
                <c:pt idx="68">
                  <c:v>6.7353674142924498E-5</c:v>
                </c:pt>
                <c:pt idx="69">
                  <c:v>6.7353674142924498E-5</c:v>
                </c:pt>
                <c:pt idx="70">
                  <c:v>6.7353674142924498E-5</c:v>
                </c:pt>
                <c:pt idx="71">
                  <c:v>6.7353674142924498E-5</c:v>
                </c:pt>
                <c:pt idx="72">
                  <c:v>6.7353674142924498E-5</c:v>
                </c:pt>
                <c:pt idx="73">
                  <c:v>6.7353674142924498E-5</c:v>
                </c:pt>
                <c:pt idx="74">
                  <c:v>6.7353674142924498E-5</c:v>
                </c:pt>
                <c:pt idx="75">
                  <c:v>6.7353674142924498E-5</c:v>
                </c:pt>
                <c:pt idx="76">
                  <c:v>6.7353674142924498E-5</c:v>
                </c:pt>
                <c:pt idx="77">
                  <c:v>6.7353674142924498E-5</c:v>
                </c:pt>
                <c:pt idx="78">
                  <c:v>6.7353674142924498E-5</c:v>
                </c:pt>
                <c:pt idx="79">
                  <c:v>6.7353674142924498E-5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4-468D-9DAB-F7BADC5791DF}"/>
            </c:ext>
          </c:extLst>
        </c:ser>
        <c:ser>
          <c:idx val="1"/>
          <c:order val="1"/>
          <c:tx>
            <c:v>relative count of chords with unaccentuated chords weighted 0.5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Chords!$A$2:$A$81</c:f>
              <c:strCache>
                <c:ptCount val="80"/>
                <c:pt idx="0">
                  <c:v>P1
M3
P5</c:v>
                </c:pt>
                <c:pt idx="1">
                  <c:v>P1
m3
P5</c:v>
                </c:pt>
                <c:pt idx="2">
                  <c:v>P1
m3
m6</c:v>
                </c:pt>
                <c:pt idx="3">
                  <c:v>P1
P4
P5</c:v>
                </c:pt>
                <c:pt idx="4">
                  <c:v>P1
M3
M6</c:v>
                </c:pt>
                <c:pt idx="5">
                  <c:v>P1
M3</c:v>
                </c:pt>
                <c:pt idx="6">
                  <c:v>P1
m3
M6</c:v>
                </c:pt>
                <c:pt idx="7">
                  <c:v>P1
m3</c:v>
                </c:pt>
                <c:pt idx="8">
                  <c:v>P1
M2
P5
M7</c:v>
                </c:pt>
                <c:pt idx="9">
                  <c:v>P1
M3
P5
M6</c:v>
                </c:pt>
                <c:pt idx="10">
                  <c:v>P1
P4
M6</c:v>
                </c:pt>
                <c:pt idx="11">
                  <c:v>P1
m3
P5
m7</c:v>
                </c:pt>
                <c:pt idx="12">
                  <c:v>P1
M3
P5
m7</c:v>
                </c:pt>
                <c:pt idx="13">
                  <c:v>P1
M2
P5</c:v>
                </c:pt>
                <c:pt idx="14">
                  <c:v>P1
m3
d5
m6</c:v>
                </c:pt>
                <c:pt idx="15">
                  <c:v>P1
M3
P5
M7</c:v>
                </c:pt>
                <c:pt idx="16">
                  <c:v>P1
P5</c:v>
                </c:pt>
                <c:pt idx="17">
                  <c:v>P1 m3 P5 M6</c:v>
                </c:pt>
                <c:pt idx="18">
                  <c:v>P1</c:v>
                </c:pt>
                <c:pt idx="19">
                  <c:v>P1 m2 P4 m6</c:v>
                </c:pt>
                <c:pt idx="20">
                  <c:v>P1 M2 m3 P5</c:v>
                </c:pt>
                <c:pt idx="21">
                  <c:v>P1 M2 P4 P5</c:v>
                </c:pt>
                <c:pt idx="22">
                  <c:v>P1 P4</c:v>
                </c:pt>
                <c:pt idx="23">
                  <c:v>P1 m3 m7</c:v>
                </c:pt>
                <c:pt idx="24">
                  <c:v>P1 M2 P4</c:v>
                </c:pt>
                <c:pt idx="25">
                  <c:v>P1 M2 P4 M6</c:v>
                </c:pt>
                <c:pt idx="26">
                  <c:v>P1 M2 A4 M6</c:v>
                </c:pt>
                <c:pt idx="27">
                  <c:v>P1 M2 P5 m7</c:v>
                </c:pt>
                <c:pt idx="28">
                  <c:v>P1 M3 A4 M6</c:v>
                </c:pt>
                <c:pt idx="29">
                  <c:v>P1 M3 m7</c:v>
                </c:pt>
                <c:pt idx="30">
                  <c:v>P1 m3 P4 m7</c:v>
                </c:pt>
                <c:pt idx="31">
                  <c:v>P1 m3 d5 m7</c:v>
                </c:pt>
                <c:pt idx="32">
                  <c:v>P1 M2 P4 m7</c:v>
                </c:pt>
                <c:pt idx="33">
                  <c:v>P1 M3 M7</c:v>
                </c:pt>
                <c:pt idx="34">
                  <c:v>P1 A4 M6</c:v>
                </c:pt>
                <c:pt idx="35">
                  <c:v>P1 M2 M3 P5</c:v>
                </c:pt>
                <c:pt idx="36">
                  <c:v>P1 M3 P4</c:v>
                </c:pt>
                <c:pt idx="37">
                  <c:v>P1 P5 m7</c:v>
                </c:pt>
                <c:pt idx="38">
                  <c:v>P1 P4 m6</c:v>
                </c:pt>
                <c:pt idx="39">
                  <c:v>P1 M6</c:v>
                </c:pt>
                <c:pt idx="40">
                  <c:v>P1 m2 d5 m7</c:v>
                </c:pt>
                <c:pt idx="41">
                  <c:v>P1 m3 P4 P5</c:v>
                </c:pt>
                <c:pt idx="42">
                  <c:v>P1 m3 d5</c:v>
                </c:pt>
                <c:pt idx="43">
                  <c:v>P1 m3 P4</c:v>
                </c:pt>
                <c:pt idx="44">
                  <c:v>P1 P4 m7</c:v>
                </c:pt>
                <c:pt idx="45">
                  <c:v>P1 d5 m6 m7</c:v>
                </c:pt>
                <c:pt idx="46">
                  <c:v>P1 P4 P5 m7</c:v>
                </c:pt>
                <c:pt idx="47">
                  <c:v>P1 m2 P4 m7</c:v>
                </c:pt>
                <c:pt idx="48">
                  <c:v>P1 m3 P4 m6</c:v>
                </c:pt>
                <c:pt idx="49">
                  <c:v>P1 P4 M6 M7</c:v>
                </c:pt>
                <c:pt idx="50">
                  <c:v>P1 A4 P5</c:v>
                </c:pt>
                <c:pt idx="51">
                  <c:v>P1 M2 P4 m6</c:v>
                </c:pt>
                <c:pt idx="52">
                  <c:v>P1 m3 m6 m7</c:v>
                </c:pt>
                <c:pt idx="53">
                  <c:v>P1 M3 P4 M6</c:v>
                </c:pt>
                <c:pt idx="54">
                  <c:v>P1 M2 A4</c:v>
                </c:pt>
                <c:pt idx="55">
                  <c:v>P1 M2 P4 M7</c:v>
                </c:pt>
                <c:pt idx="56">
                  <c:v>P1 M3 P4 m7</c:v>
                </c:pt>
                <c:pt idx="57">
                  <c:v>P1 M2 M3</c:v>
                </c:pt>
                <c:pt idx="58">
                  <c:v>P1 M2 M3 m7</c:v>
                </c:pt>
                <c:pt idx="59">
                  <c:v>P1 P4 P5 M6</c:v>
                </c:pt>
                <c:pt idx="60">
                  <c:v>P1 m2 P4</c:v>
                </c:pt>
                <c:pt idx="61">
                  <c:v>P1 M2</c:v>
                </c:pt>
                <c:pt idx="62">
                  <c:v>P1 M2 M6 M7</c:v>
                </c:pt>
                <c:pt idx="63">
                  <c:v>P1 m3 d5 d7</c:v>
                </c:pt>
                <c:pt idx="64">
                  <c:v>P1 m7</c:v>
                </c:pt>
                <c:pt idx="65">
                  <c:v>P1 P5 M6</c:v>
                </c:pt>
                <c:pt idx="66">
                  <c:v>P1 M3 m6</c:v>
                </c:pt>
                <c:pt idx="67">
                  <c:v>P1 M3 M6 m7</c:v>
                </c:pt>
                <c:pt idx="68">
                  <c:v>P1 m3 P4 M6</c:v>
                </c:pt>
                <c:pt idx="69">
                  <c:v>P1 M3 A6</c:v>
                </c:pt>
                <c:pt idx="70">
                  <c:v>P1 M2 m3 m7</c:v>
                </c:pt>
                <c:pt idx="71">
                  <c:v>P1 m2 d5</c:v>
                </c:pt>
                <c:pt idx="72">
                  <c:v>P1 m3 P5 m6</c:v>
                </c:pt>
                <c:pt idx="73">
                  <c:v>P1 A2 A4 M7</c:v>
                </c:pt>
                <c:pt idx="74">
                  <c:v>P1 m2 m3 m7</c:v>
                </c:pt>
                <c:pt idx="75">
                  <c:v>P1 P4 M6 m7</c:v>
                </c:pt>
                <c:pt idx="76">
                  <c:v>P1 m6</c:v>
                </c:pt>
                <c:pt idx="77">
                  <c:v>P1 m2 m3 P4</c:v>
                </c:pt>
                <c:pt idx="78">
                  <c:v>P1 M3 M6 M7</c:v>
                </c:pt>
                <c:pt idx="79">
                  <c:v>P1 M3 P4 P5</c:v>
                </c:pt>
              </c:strCache>
            </c:strRef>
          </c:cat>
          <c:val>
            <c:numRef>
              <c:f>Chords!$E$2:$E$81</c:f>
              <c:numCache>
                <c:formatCode>General</c:formatCode>
                <c:ptCount val="80"/>
                <c:pt idx="0">
                  <c:v>0.45290298645891303</c:v>
                </c:pt>
                <c:pt idx="1">
                  <c:v>0.27545909849749584</c:v>
                </c:pt>
                <c:pt idx="2">
                  <c:v>9.4602114635503623E-2</c:v>
                </c:pt>
                <c:pt idx="3">
                  <c:v>3.9621591541457987E-2</c:v>
                </c:pt>
                <c:pt idx="4">
                  <c:v>3.5577814876646262E-2</c:v>
                </c:pt>
                <c:pt idx="5">
                  <c:v>3.0866258579113338E-2</c:v>
                </c:pt>
                <c:pt idx="6">
                  <c:v>2.3112595065850491E-2</c:v>
                </c:pt>
                <c:pt idx="7">
                  <c:v>1.1129660545353366E-2</c:v>
                </c:pt>
                <c:pt idx="8">
                  <c:v>2.485624188462252E-3</c:v>
                </c:pt>
                <c:pt idx="9">
                  <c:v>3.4130959005750326E-3</c:v>
                </c:pt>
                <c:pt idx="10">
                  <c:v>1.9662400296790949E-3</c:v>
                </c:pt>
                <c:pt idx="11">
                  <c:v>1.9291411611945836E-3</c:v>
                </c:pt>
                <c:pt idx="12">
                  <c:v>1.5952513448339826E-3</c:v>
                </c:pt>
                <c:pt idx="13">
                  <c:v>1.2613615284733815E-3</c:v>
                </c:pt>
                <c:pt idx="14">
                  <c:v>1.4468558708959378E-3</c:v>
                </c:pt>
                <c:pt idx="15">
                  <c:v>1.1129660545353367E-3</c:v>
                </c:pt>
                <c:pt idx="16">
                  <c:v>1.7436468187720273E-3</c:v>
                </c:pt>
                <c:pt idx="17">
                  <c:v>1.7065479502875163E-3</c:v>
                </c:pt>
                <c:pt idx="18">
                  <c:v>1.4097570024114265E-3</c:v>
                </c:pt>
                <c:pt idx="19">
                  <c:v>1.1129660545353367E-3</c:v>
                </c:pt>
                <c:pt idx="20">
                  <c:v>1.0016694490818029E-3</c:v>
                </c:pt>
                <c:pt idx="21">
                  <c:v>8.5327397514375816E-4</c:v>
                </c:pt>
                <c:pt idx="22">
                  <c:v>8.161751066592469E-4</c:v>
                </c:pt>
                <c:pt idx="23">
                  <c:v>1.0387683175663142E-3</c:v>
                </c:pt>
                <c:pt idx="24">
                  <c:v>7.7907623817473565E-4</c:v>
                </c:pt>
                <c:pt idx="25">
                  <c:v>7.419773696902244E-4</c:v>
                </c:pt>
                <c:pt idx="26">
                  <c:v>7.0487850120571325E-4</c:v>
                </c:pt>
                <c:pt idx="27">
                  <c:v>6.3068076423669075E-4</c:v>
                </c:pt>
                <c:pt idx="28">
                  <c:v>5.193841587831571E-4</c:v>
                </c:pt>
                <c:pt idx="29">
                  <c:v>5.193841587831571E-4</c:v>
                </c:pt>
                <c:pt idx="30">
                  <c:v>4.822852902986459E-4</c:v>
                </c:pt>
                <c:pt idx="31">
                  <c:v>4.4518642181413465E-4</c:v>
                </c:pt>
                <c:pt idx="32">
                  <c:v>3.709886848451122E-4</c:v>
                </c:pt>
                <c:pt idx="33">
                  <c:v>5.5648302726766835E-4</c:v>
                </c:pt>
                <c:pt idx="34">
                  <c:v>3.709886848451122E-4</c:v>
                </c:pt>
                <c:pt idx="35">
                  <c:v>5.193841587831571E-4</c:v>
                </c:pt>
                <c:pt idx="36">
                  <c:v>2.5969207939157855E-4</c:v>
                </c:pt>
                <c:pt idx="37">
                  <c:v>3.709886848451122E-4</c:v>
                </c:pt>
                <c:pt idx="38">
                  <c:v>3.33889816360601E-4</c:v>
                </c:pt>
                <c:pt idx="39">
                  <c:v>3.33889816360601E-4</c:v>
                </c:pt>
                <c:pt idx="40">
                  <c:v>2.967909478760898E-4</c:v>
                </c:pt>
                <c:pt idx="41">
                  <c:v>3.33889816360601E-4</c:v>
                </c:pt>
                <c:pt idx="42">
                  <c:v>2.967909478760898E-4</c:v>
                </c:pt>
                <c:pt idx="43">
                  <c:v>1.483954739380449E-4</c:v>
                </c:pt>
                <c:pt idx="44">
                  <c:v>1.483954739380449E-4</c:v>
                </c:pt>
                <c:pt idx="45">
                  <c:v>2.2259321090706732E-4</c:v>
                </c:pt>
                <c:pt idx="46">
                  <c:v>1.854943424225561E-4</c:v>
                </c:pt>
                <c:pt idx="47">
                  <c:v>1.1129660545353366E-4</c:v>
                </c:pt>
                <c:pt idx="48">
                  <c:v>1.1129660545353366E-4</c:v>
                </c:pt>
                <c:pt idx="49">
                  <c:v>1.483954739380449E-4</c:v>
                </c:pt>
                <c:pt idx="50">
                  <c:v>1.1129660545353366E-4</c:v>
                </c:pt>
                <c:pt idx="51">
                  <c:v>1.1129660545353366E-4</c:v>
                </c:pt>
                <c:pt idx="52">
                  <c:v>1.1129660545353366E-4</c:v>
                </c:pt>
                <c:pt idx="53">
                  <c:v>1.1129660545353366E-4</c:v>
                </c:pt>
                <c:pt idx="54">
                  <c:v>1.1129660545353366E-4</c:v>
                </c:pt>
                <c:pt idx="55">
                  <c:v>7.4197736969022451E-5</c:v>
                </c:pt>
                <c:pt idx="56">
                  <c:v>7.4197736969022451E-5</c:v>
                </c:pt>
                <c:pt idx="57">
                  <c:v>7.4197736969022451E-5</c:v>
                </c:pt>
                <c:pt idx="58">
                  <c:v>7.4197736969022451E-5</c:v>
                </c:pt>
                <c:pt idx="59">
                  <c:v>7.4197736969022451E-5</c:v>
                </c:pt>
                <c:pt idx="60">
                  <c:v>7.4197736969022451E-5</c:v>
                </c:pt>
                <c:pt idx="61">
                  <c:v>7.4197736969022451E-5</c:v>
                </c:pt>
                <c:pt idx="62">
                  <c:v>7.4197736969022451E-5</c:v>
                </c:pt>
                <c:pt idx="63">
                  <c:v>7.4197736969022451E-5</c:v>
                </c:pt>
                <c:pt idx="64">
                  <c:v>7.4197736969022451E-5</c:v>
                </c:pt>
                <c:pt idx="65">
                  <c:v>7.4197736969022451E-5</c:v>
                </c:pt>
                <c:pt idx="66">
                  <c:v>3.7098868484511225E-5</c:v>
                </c:pt>
                <c:pt idx="67">
                  <c:v>3.7098868484511225E-5</c:v>
                </c:pt>
                <c:pt idx="68">
                  <c:v>3.7098868484511225E-5</c:v>
                </c:pt>
                <c:pt idx="69">
                  <c:v>3.7098868484511225E-5</c:v>
                </c:pt>
                <c:pt idx="70">
                  <c:v>3.7098868484511225E-5</c:v>
                </c:pt>
                <c:pt idx="71">
                  <c:v>3.7098868484511225E-5</c:v>
                </c:pt>
                <c:pt idx="72">
                  <c:v>3.7098868484511225E-5</c:v>
                </c:pt>
                <c:pt idx="73">
                  <c:v>3.7098868484511225E-5</c:v>
                </c:pt>
                <c:pt idx="74">
                  <c:v>3.7098868484511225E-5</c:v>
                </c:pt>
                <c:pt idx="75">
                  <c:v>3.7098868484511225E-5</c:v>
                </c:pt>
                <c:pt idx="76">
                  <c:v>3.7098868484511225E-5</c:v>
                </c:pt>
                <c:pt idx="77">
                  <c:v>3.7098868484511225E-5</c:v>
                </c:pt>
                <c:pt idx="78">
                  <c:v>3.7098868484511225E-5</c:v>
                </c:pt>
                <c:pt idx="79">
                  <c:v>3.7098868484511225E-5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4-468D-9DAB-F7BADC579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852887839"/>
        <c:axId val="1556628767"/>
      </c:barChart>
      <c:catAx>
        <c:axId val="185288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chord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6628767"/>
        <c:crosses val="autoZero"/>
        <c:auto val="1"/>
        <c:lblAlgn val="ctr"/>
        <c:lblOffset val="100"/>
        <c:noMultiLvlLbl val="0"/>
      </c:catAx>
      <c:valAx>
        <c:axId val="15566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28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relative count of chords with equal weighting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Chords!$A$2:$A$81</c15:sqref>
                  </c15:fullRef>
                </c:ext>
              </c:extLst>
              <c:f>Chords!$A$2:$A$17</c:f>
              <c:strCache>
                <c:ptCount val="16"/>
                <c:pt idx="0">
                  <c:v>P1
M3
P5</c:v>
                </c:pt>
                <c:pt idx="1">
                  <c:v>P1
m3
P5</c:v>
                </c:pt>
                <c:pt idx="2">
                  <c:v>P1
m3
m6</c:v>
                </c:pt>
                <c:pt idx="3">
                  <c:v>P1
P4
P5</c:v>
                </c:pt>
                <c:pt idx="4">
                  <c:v>P1
M3
M6</c:v>
                </c:pt>
                <c:pt idx="5">
                  <c:v>P1
M3</c:v>
                </c:pt>
                <c:pt idx="6">
                  <c:v>P1
m3
M6</c:v>
                </c:pt>
                <c:pt idx="7">
                  <c:v>P1
m3</c:v>
                </c:pt>
                <c:pt idx="8">
                  <c:v>P1
M2
P5
M7</c:v>
                </c:pt>
                <c:pt idx="9">
                  <c:v>P1
M3
P5
M6</c:v>
                </c:pt>
                <c:pt idx="10">
                  <c:v>P1
P4
M6</c:v>
                </c:pt>
                <c:pt idx="11">
                  <c:v>P1
m3
P5
m7</c:v>
                </c:pt>
                <c:pt idx="12">
                  <c:v>P1
M3
P5
m7</c:v>
                </c:pt>
                <c:pt idx="13">
                  <c:v>P1
M2
P5</c:v>
                </c:pt>
                <c:pt idx="14">
                  <c:v>P1
m3
d5
m6</c:v>
                </c:pt>
                <c:pt idx="15">
                  <c:v>P1
M3
P5
M7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Chords!$C$2:$C$81</c15:sqref>
                  </c15:fullRef>
                </c:ext>
              </c:extLst>
              <c:f>Chords!$C$2:$C$17</c:f>
              <c:numCache>
                <c:formatCode>0.0000</c:formatCode>
                <c:ptCount val="16"/>
                <c:pt idx="0">
                  <c:v>0.44796928672459085</c:v>
                </c:pt>
                <c:pt idx="1">
                  <c:v>0.26961675759412673</c:v>
                </c:pt>
                <c:pt idx="2">
                  <c:v>9.5978985653667401E-2</c:v>
                </c:pt>
                <c:pt idx="3">
                  <c:v>3.6775106082036775E-2</c:v>
                </c:pt>
                <c:pt idx="4">
                  <c:v>3.6303630363036306E-2</c:v>
                </c:pt>
                <c:pt idx="5">
                  <c:v>2.8962079881457534E-2</c:v>
                </c:pt>
                <c:pt idx="6">
                  <c:v>2.862531151074291E-2</c:v>
                </c:pt>
                <c:pt idx="7">
                  <c:v>1.0439819492153297E-2</c:v>
                </c:pt>
                <c:pt idx="8">
                  <c:v>3.6370984037179229E-3</c:v>
                </c:pt>
                <c:pt idx="9">
                  <c:v>3.2329763588603757E-3</c:v>
                </c:pt>
                <c:pt idx="10">
                  <c:v>2.2226712467165082E-3</c:v>
                </c:pt>
                <c:pt idx="11">
                  <c:v>2.1553175725735839E-3</c:v>
                </c:pt>
                <c:pt idx="12">
                  <c:v>2.1553175725735839E-3</c:v>
                </c:pt>
                <c:pt idx="13">
                  <c:v>1.9532565501448104E-3</c:v>
                </c:pt>
                <c:pt idx="14">
                  <c:v>1.8185492018589614E-3</c:v>
                </c:pt>
                <c:pt idx="15">
                  <c:v>1.751195527716037E-3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B-4381-9E86-DBACDB5D3B48}"/>
            </c:ext>
          </c:extLst>
        </c:ser>
        <c:ser>
          <c:idx val="1"/>
          <c:order val="1"/>
          <c:tx>
            <c:v>relative count of chords with unaccentuated chords weighted 0.5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Chords!$A$2:$A$81</c15:sqref>
                  </c15:fullRef>
                </c:ext>
              </c:extLst>
              <c:f>Chords!$A$2:$A$17</c:f>
              <c:strCache>
                <c:ptCount val="16"/>
                <c:pt idx="0">
                  <c:v>P1
M3
P5</c:v>
                </c:pt>
                <c:pt idx="1">
                  <c:v>P1
m3
P5</c:v>
                </c:pt>
                <c:pt idx="2">
                  <c:v>P1
m3
m6</c:v>
                </c:pt>
                <c:pt idx="3">
                  <c:v>P1
P4
P5</c:v>
                </c:pt>
                <c:pt idx="4">
                  <c:v>P1
M3
M6</c:v>
                </c:pt>
                <c:pt idx="5">
                  <c:v>P1
M3</c:v>
                </c:pt>
                <c:pt idx="6">
                  <c:v>P1
m3
M6</c:v>
                </c:pt>
                <c:pt idx="7">
                  <c:v>P1
m3</c:v>
                </c:pt>
                <c:pt idx="8">
                  <c:v>P1
M2
P5
M7</c:v>
                </c:pt>
                <c:pt idx="9">
                  <c:v>P1
M3
P5
M6</c:v>
                </c:pt>
                <c:pt idx="10">
                  <c:v>P1
P4
M6</c:v>
                </c:pt>
                <c:pt idx="11">
                  <c:v>P1
m3
P5
m7</c:v>
                </c:pt>
                <c:pt idx="12">
                  <c:v>P1
M3
P5
m7</c:v>
                </c:pt>
                <c:pt idx="13">
                  <c:v>P1
M2
P5</c:v>
                </c:pt>
                <c:pt idx="14">
                  <c:v>P1
m3
d5
m6</c:v>
                </c:pt>
                <c:pt idx="15">
                  <c:v>P1
M3
P5
M7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Chords!$E$2:$E$81</c15:sqref>
                  </c15:fullRef>
                </c:ext>
              </c:extLst>
              <c:f>Chords!$E$2:$E$17</c:f>
              <c:numCache>
                <c:formatCode>General</c:formatCode>
                <c:ptCount val="16"/>
                <c:pt idx="0">
                  <c:v>0.45290298645891303</c:v>
                </c:pt>
                <c:pt idx="1">
                  <c:v>0.27545909849749584</c:v>
                </c:pt>
                <c:pt idx="2">
                  <c:v>9.4602114635503623E-2</c:v>
                </c:pt>
                <c:pt idx="3">
                  <c:v>3.9621591541457987E-2</c:v>
                </c:pt>
                <c:pt idx="4">
                  <c:v>3.5577814876646262E-2</c:v>
                </c:pt>
                <c:pt idx="5">
                  <c:v>3.0866258579113338E-2</c:v>
                </c:pt>
                <c:pt idx="6">
                  <c:v>2.3112595065850491E-2</c:v>
                </c:pt>
                <c:pt idx="7">
                  <c:v>1.1129660545353366E-2</c:v>
                </c:pt>
                <c:pt idx="8">
                  <c:v>2.485624188462252E-3</c:v>
                </c:pt>
                <c:pt idx="9">
                  <c:v>3.4130959005750326E-3</c:v>
                </c:pt>
                <c:pt idx="10">
                  <c:v>1.9662400296790949E-3</c:v>
                </c:pt>
                <c:pt idx="11">
                  <c:v>1.9291411611945836E-3</c:v>
                </c:pt>
                <c:pt idx="12">
                  <c:v>1.5952513448339826E-3</c:v>
                </c:pt>
                <c:pt idx="13">
                  <c:v>1.2613615284733815E-3</c:v>
                </c:pt>
                <c:pt idx="14">
                  <c:v>1.4468558708959378E-3</c:v>
                </c:pt>
                <c:pt idx="15">
                  <c:v>1.1129660545353367E-3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B-4381-9E86-DBACDB5D3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852887839"/>
        <c:axId val="1556628767"/>
      </c:barChart>
      <c:catAx>
        <c:axId val="185288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chord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6628767"/>
        <c:crosses val="autoZero"/>
        <c:auto val="1"/>
        <c:lblAlgn val="ctr"/>
        <c:lblOffset val="100"/>
        <c:noMultiLvlLbl val="0"/>
      </c:catAx>
      <c:valAx>
        <c:axId val="15566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28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relative quantity of chords (1.0 corresp. a total of 14,847 chords)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Chords!$A$2:$A$81</c15:sqref>
                  </c15:fullRef>
                </c:ext>
              </c:extLst>
              <c:f>Chords!$A$2:$A$18</c:f>
              <c:strCache>
                <c:ptCount val="17"/>
                <c:pt idx="0">
                  <c:v>P1
M3
P5</c:v>
                </c:pt>
                <c:pt idx="1">
                  <c:v>P1
m3
P5</c:v>
                </c:pt>
                <c:pt idx="2">
                  <c:v>P1
m3
m6</c:v>
                </c:pt>
                <c:pt idx="3">
                  <c:v>P1
P4
P5</c:v>
                </c:pt>
                <c:pt idx="4">
                  <c:v>P1
M3
M6</c:v>
                </c:pt>
                <c:pt idx="5">
                  <c:v>P1
M3</c:v>
                </c:pt>
                <c:pt idx="6">
                  <c:v>P1
m3
M6</c:v>
                </c:pt>
                <c:pt idx="7">
                  <c:v>P1
m3</c:v>
                </c:pt>
                <c:pt idx="8">
                  <c:v>P1
M2
P5
M7</c:v>
                </c:pt>
                <c:pt idx="9">
                  <c:v>P1
M3
P5
M6</c:v>
                </c:pt>
                <c:pt idx="10">
                  <c:v>P1
P4
M6</c:v>
                </c:pt>
                <c:pt idx="11">
                  <c:v>P1
m3
P5
m7</c:v>
                </c:pt>
                <c:pt idx="12">
                  <c:v>P1
M3
P5
m7</c:v>
                </c:pt>
                <c:pt idx="13">
                  <c:v>P1
M2
P5</c:v>
                </c:pt>
                <c:pt idx="14">
                  <c:v>P1
m3
d5
m6</c:v>
                </c:pt>
                <c:pt idx="15">
                  <c:v>P1
M3
P5
M7</c:v>
                </c:pt>
                <c:pt idx="16">
                  <c:v>P1
P5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Chords!$C$2:$C$81</c15:sqref>
                  </c15:fullRef>
                </c:ext>
              </c:extLst>
              <c:f>Chords!$C$2:$C$18</c:f>
              <c:numCache>
                <c:formatCode>0.0000</c:formatCode>
                <c:ptCount val="17"/>
                <c:pt idx="0">
                  <c:v>0.44796928672459085</c:v>
                </c:pt>
                <c:pt idx="1">
                  <c:v>0.26961675759412673</c:v>
                </c:pt>
                <c:pt idx="2">
                  <c:v>9.5978985653667401E-2</c:v>
                </c:pt>
                <c:pt idx="3">
                  <c:v>3.6775106082036775E-2</c:v>
                </c:pt>
                <c:pt idx="4">
                  <c:v>3.6303630363036306E-2</c:v>
                </c:pt>
                <c:pt idx="5">
                  <c:v>2.8962079881457534E-2</c:v>
                </c:pt>
                <c:pt idx="6">
                  <c:v>2.862531151074291E-2</c:v>
                </c:pt>
                <c:pt idx="7">
                  <c:v>1.0439819492153297E-2</c:v>
                </c:pt>
                <c:pt idx="8">
                  <c:v>3.6370984037179229E-3</c:v>
                </c:pt>
                <c:pt idx="9">
                  <c:v>3.2329763588603757E-3</c:v>
                </c:pt>
                <c:pt idx="10">
                  <c:v>2.2226712467165082E-3</c:v>
                </c:pt>
                <c:pt idx="11">
                  <c:v>2.1553175725735839E-3</c:v>
                </c:pt>
                <c:pt idx="12">
                  <c:v>2.1553175725735839E-3</c:v>
                </c:pt>
                <c:pt idx="13">
                  <c:v>1.9532565501448104E-3</c:v>
                </c:pt>
                <c:pt idx="14">
                  <c:v>1.8185492018589614E-3</c:v>
                </c:pt>
                <c:pt idx="15">
                  <c:v>1.751195527716037E-3</c:v>
                </c:pt>
                <c:pt idx="16">
                  <c:v>1.6838418535731123E-3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A-428D-A671-81770F0AEB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862338687"/>
        <c:axId val="1556646047"/>
      </c:barChart>
      <c:catAx>
        <c:axId val="186233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chord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6646047"/>
        <c:crosses val="autoZero"/>
        <c:auto val="1"/>
        <c:lblAlgn val="ctr"/>
        <c:lblOffset val="100"/>
        <c:noMultiLvlLbl val="0"/>
      </c:catAx>
      <c:valAx>
        <c:axId val="15566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relative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3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159024</xdr:colOff>
      <xdr:row>22</xdr:row>
      <xdr:rowOff>103970</xdr:rowOff>
    </xdr:from>
    <xdr:to>
      <xdr:col>24</xdr:col>
      <xdr:colOff>501024</xdr:colOff>
      <xdr:row>41</xdr:row>
      <xdr:rowOff>84470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118B37A-0F55-76D3-C4C1-B09262E39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224102</xdr:colOff>
      <xdr:row>2</xdr:row>
      <xdr:rowOff>171348</xdr:rowOff>
    </xdr:from>
    <xdr:to>
      <xdr:col>24</xdr:col>
      <xdr:colOff>566102</xdr:colOff>
      <xdr:row>21</xdr:row>
      <xdr:rowOff>151848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5D230414-64EF-EAA1-54F9-3D7421F19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185628</xdr:colOff>
      <xdr:row>44</xdr:row>
      <xdr:rowOff>67382</xdr:rowOff>
    </xdr:from>
    <xdr:to>
      <xdr:col>24</xdr:col>
      <xdr:colOff>527628</xdr:colOff>
      <xdr:row>63</xdr:row>
      <xdr:rowOff>47882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CA9D586-1BF4-3F6A-F876-46D0DABA8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241437</xdr:colOff>
      <xdr:row>1</xdr:row>
      <xdr:rowOff>112436</xdr:rowOff>
    </xdr:from>
    <xdr:to>
      <xdr:col>22</xdr:col>
      <xdr:colOff>583437</xdr:colOff>
      <xdr:row>20</xdr:row>
      <xdr:rowOff>92936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6ACF020-EC38-DE44-BFD2-1787A77F2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247649</xdr:colOff>
      <xdr:row>21</xdr:row>
      <xdr:rowOff>4760</xdr:rowOff>
    </xdr:from>
    <xdr:to>
      <xdr:col>22</xdr:col>
      <xdr:colOff>589649</xdr:colOff>
      <xdr:row>39</xdr:row>
      <xdr:rowOff>175760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E4EDDC3-C2E1-092E-D80E-E4AF92728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190499</xdr:colOff>
      <xdr:row>44</xdr:row>
      <xdr:rowOff>147637</xdr:rowOff>
    </xdr:from>
    <xdr:to>
      <xdr:col>22</xdr:col>
      <xdr:colOff>532499</xdr:colOff>
      <xdr:row>63</xdr:row>
      <xdr:rowOff>128137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1F892C8-42EA-F9FA-89EC-8FF0E5217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169792</xdr:colOff>
      <xdr:row>66</xdr:row>
      <xdr:rowOff>177246</xdr:rowOff>
    </xdr:from>
    <xdr:to>
      <xdr:col>22</xdr:col>
      <xdr:colOff>511792</xdr:colOff>
      <xdr:row>85</xdr:row>
      <xdr:rowOff>157746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3B04363-16D1-2BED-E8D5-93E5D45B4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752474</xdr:colOff>
      <xdr:row>1</xdr:row>
      <xdr:rowOff>9525</xdr:rowOff>
    </xdr:from>
    <xdr:to>
      <xdr:col>22</xdr:col>
      <xdr:colOff>332474</xdr:colOff>
      <xdr:row>19</xdr:row>
      <xdr:rowOff>180525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BE4AA1A-584D-06D1-B711-755E8BF52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</xdr:colOff>
      <xdr:row>33</xdr:row>
      <xdr:rowOff>4762</xdr:rowOff>
    </xdr:from>
    <xdr:to>
      <xdr:col>22</xdr:col>
      <xdr:colOff>346762</xdr:colOff>
      <xdr:row>51</xdr:row>
      <xdr:rowOff>175762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5514134-B82A-080C-ADDD-E64AC0CA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</xdr:colOff>
      <xdr:row>53</xdr:row>
      <xdr:rowOff>166687</xdr:rowOff>
    </xdr:from>
    <xdr:to>
      <xdr:col>22</xdr:col>
      <xdr:colOff>356287</xdr:colOff>
      <xdr:row>72</xdr:row>
      <xdr:rowOff>147187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CDA8934-798A-01C9-C9BF-2E81284AC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86968</xdr:colOff>
      <xdr:row>1</xdr:row>
      <xdr:rowOff>22244</xdr:rowOff>
    </xdr:from>
    <xdr:to>
      <xdr:col>19</xdr:col>
      <xdr:colOff>428968</xdr:colOff>
      <xdr:row>7</xdr:row>
      <xdr:rowOff>383744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1E0F46F-5E94-6017-D2B4-CB8621754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171568</xdr:colOff>
      <xdr:row>8</xdr:row>
      <xdr:rowOff>194405</xdr:rowOff>
    </xdr:from>
    <xdr:to>
      <xdr:col>19</xdr:col>
      <xdr:colOff>513568</xdr:colOff>
      <xdr:row>14</xdr:row>
      <xdr:rowOff>174905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80AB467-3B2D-0387-0E4A-BE40F053E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136072</xdr:colOff>
      <xdr:row>15</xdr:row>
      <xdr:rowOff>363250</xdr:rowOff>
    </xdr:from>
    <xdr:to>
      <xdr:col>19</xdr:col>
      <xdr:colOff>478072</xdr:colOff>
      <xdr:row>29</xdr:row>
      <xdr:rowOff>153250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68805DD-280E-45E5-8965-8ACF66D55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144946</xdr:colOff>
      <xdr:row>32</xdr:row>
      <xdr:rowOff>36444</xdr:rowOff>
    </xdr:from>
    <xdr:to>
      <xdr:col>19</xdr:col>
      <xdr:colOff>486946</xdr:colOff>
      <xdr:row>51</xdr:row>
      <xdr:rowOff>16944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1EC0729-FE07-3C82-476A-618923D64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000A-4CB0-4A0C-AF1F-EDB205E99486}">
  <dimension ref="A1:C27"/>
  <sheetViews>
    <sheetView workbookViewId="0">
      <selection activeCell="F20" sqref="F20"/>
    </sheetView>
  </sheetViews>
  <sheetFormatPr baseColWidth="10" defaultColWidth="11.42578125" defaultRowHeight="15" x14ac:dyDescent="0.25"/>
  <cols>
    <col min="1" max="1" width="16" style="4" customWidth="1"/>
    <col min="2" max="2" width="14.85546875" customWidth="1"/>
  </cols>
  <sheetData>
    <row r="1" spans="1:3" x14ac:dyDescent="0.25">
      <c r="A1" s="5" t="s">
        <v>93</v>
      </c>
      <c r="B1" s="1" t="s">
        <v>120</v>
      </c>
      <c r="C1" s="1" t="s">
        <v>204</v>
      </c>
    </row>
    <row r="2" spans="1:3" x14ac:dyDescent="0.25">
      <c r="A2" s="4" t="s">
        <v>111</v>
      </c>
      <c r="B2">
        <v>1302</v>
      </c>
      <c r="C2" cm="1">
        <f t="array" ref="C2:C27">100*B2:B27/SUM(B2:B27)</f>
        <v>36.758893280632414</v>
      </c>
    </row>
    <row r="3" spans="1:3" x14ac:dyDescent="0.25">
      <c r="A3" s="4" t="s">
        <v>108</v>
      </c>
      <c r="B3">
        <v>459</v>
      </c>
      <c r="C3">
        <v>12.958780350084698</v>
      </c>
    </row>
    <row r="4" spans="1:3" x14ac:dyDescent="0.25">
      <c r="A4" s="4" t="s">
        <v>94</v>
      </c>
      <c r="B4">
        <v>454</v>
      </c>
      <c r="C4">
        <v>12.817617165443252</v>
      </c>
    </row>
    <row r="5" spans="1:3" x14ac:dyDescent="0.25">
      <c r="A5" s="4" t="s">
        <v>112</v>
      </c>
      <c r="B5">
        <v>340</v>
      </c>
      <c r="C5">
        <v>9.5990965556182939</v>
      </c>
    </row>
    <row r="6" spans="1:3" x14ac:dyDescent="0.25">
      <c r="A6" s="4" t="s">
        <v>113</v>
      </c>
      <c r="B6">
        <v>273</v>
      </c>
      <c r="C6">
        <v>7.7075098814229248</v>
      </c>
    </row>
    <row r="7" spans="1:3" x14ac:dyDescent="0.25">
      <c r="A7" s="4" t="s">
        <v>110</v>
      </c>
      <c r="B7">
        <v>250</v>
      </c>
      <c r="C7">
        <v>7.0581592320722759</v>
      </c>
    </row>
    <row r="8" spans="1:3" x14ac:dyDescent="0.25">
      <c r="A8" s="4" t="s">
        <v>95</v>
      </c>
      <c r="B8">
        <v>159</v>
      </c>
      <c r="C8">
        <v>4.4889892715979673</v>
      </c>
    </row>
    <row r="9" spans="1:3" x14ac:dyDescent="0.25">
      <c r="A9" s="4" t="s">
        <v>96</v>
      </c>
      <c r="B9">
        <v>73</v>
      </c>
      <c r="C9">
        <v>2.0609824957651046</v>
      </c>
    </row>
    <row r="10" spans="1:3" x14ac:dyDescent="0.25">
      <c r="A10" s="4" t="s">
        <v>97</v>
      </c>
      <c r="B10">
        <v>72</v>
      </c>
      <c r="C10">
        <v>2.0327498588368154</v>
      </c>
    </row>
    <row r="11" spans="1:3" x14ac:dyDescent="0.25">
      <c r="A11" s="4" t="s">
        <v>114</v>
      </c>
      <c r="B11">
        <v>36</v>
      </c>
      <c r="C11">
        <v>1.0163749294184077</v>
      </c>
    </row>
    <row r="12" spans="1:3" x14ac:dyDescent="0.25">
      <c r="A12" s="4" t="s">
        <v>106</v>
      </c>
      <c r="B12">
        <v>30</v>
      </c>
      <c r="C12">
        <v>0.84697910784867303</v>
      </c>
    </row>
    <row r="13" spans="1:3" x14ac:dyDescent="0.25">
      <c r="A13" s="4" t="s">
        <v>99</v>
      </c>
      <c r="B13">
        <v>25</v>
      </c>
      <c r="C13">
        <v>0.70581592320722752</v>
      </c>
    </row>
    <row r="14" spans="1:3" x14ac:dyDescent="0.25">
      <c r="A14" s="4" t="s">
        <v>107</v>
      </c>
      <c r="B14">
        <v>16</v>
      </c>
      <c r="C14">
        <v>0.45172219085262566</v>
      </c>
    </row>
    <row r="15" spans="1:3" x14ac:dyDescent="0.25">
      <c r="A15" s="4" t="s">
        <v>104</v>
      </c>
      <c r="B15">
        <v>13</v>
      </c>
      <c r="C15">
        <v>0.36702428006775834</v>
      </c>
    </row>
    <row r="16" spans="1:3" x14ac:dyDescent="0.25">
      <c r="A16" s="4" t="s">
        <v>119</v>
      </c>
      <c r="B16">
        <v>11</v>
      </c>
      <c r="C16">
        <v>0.3105590062111801</v>
      </c>
    </row>
    <row r="17" spans="1:3" x14ac:dyDescent="0.25">
      <c r="A17" s="4" t="s">
        <v>118</v>
      </c>
      <c r="B17">
        <v>10</v>
      </c>
      <c r="C17">
        <v>0.28232636928289101</v>
      </c>
    </row>
    <row r="18" spans="1:3" x14ac:dyDescent="0.25">
      <c r="A18" s="4" t="s">
        <v>115</v>
      </c>
      <c r="B18">
        <v>5</v>
      </c>
      <c r="C18">
        <v>0.1411631846414455</v>
      </c>
    </row>
    <row r="19" spans="1:3" x14ac:dyDescent="0.25">
      <c r="A19" s="4" t="s">
        <v>105</v>
      </c>
      <c r="B19">
        <v>4</v>
      </c>
      <c r="C19">
        <v>0.11293054771315642</v>
      </c>
    </row>
    <row r="20" spans="1:3" x14ac:dyDescent="0.25">
      <c r="A20" s="4" t="s">
        <v>98</v>
      </c>
      <c r="B20">
        <v>3</v>
      </c>
      <c r="C20">
        <v>8.4697910784867311E-2</v>
      </c>
    </row>
    <row r="21" spans="1:3" x14ac:dyDescent="0.25">
      <c r="A21" s="4" t="s">
        <v>100</v>
      </c>
      <c r="B21">
        <v>1</v>
      </c>
      <c r="C21">
        <v>2.8232636928289104E-2</v>
      </c>
    </row>
    <row r="22" spans="1:3" x14ac:dyDescent="0.25">
      <c r="A22" s="4" t="s">
        <v>101</v>
      </c>
      <c r="B22" s="7">
        <v>1</v>
      </c>
      <c r="C22">
        <v>2.8232636928289104E-2</v>
      </c>
    </row>
    <row r="23" spans="1:3" x14ac:dyDescent="0.25">
      <c r="A23" s="4" t="s">
        <v>102</v>
      </c>
      <c r="B23">
        <v>1</v>
      </c>
      <c r="C23">
        <v>2.8232636928289104E-2</v>
      </c>
    </row>
    <row r="24" spans="1:3" x14ac:dyDescent="0.25">
      <c r="A24" s="4" t="s">
        <v>103</v>
      </c>
      <c r="B24">
        <v>1</v>
      </c>
      <c r="C24">
        <v>2.8232636928289104E-2</v>
      </c>
    </row>
    <row r="25" spans="1:3" x14ac:dyDescent="0.25">
      <c r="A25" s="4" t="s">
        <v>109</v>
      </c>
      <c r="B25">
        <v>1</v>
      </c>
      <c r="C25">
        <v>2.8232636928289104E-2</v>
      </c>
    </row>
    <row r="26" spans="1:3" x14ac:dyDescent="0.25">
      <c r="A26" s="4" t="s">
        <v>116</v>
      </c>
      <c r="B26">
        <v>1</v>
      </c>
      <c r="C26">
        <v>2.8232636928289104E-2</v>
      </c>
    </row>
    <row r="27" spans="1:3" x14ac:dyDescent="0.25">
      <c r="A27" s="4" t="s">
        <v>117</v>
      </c>
      <c r="B27">
        <v>1</v>
      </c>
      <c r="C27">
        <v>2.8232636928289104E-2</v>
      </c>
    </row>
  </sheetData>
  <conditionalFormatting sqref="B2:B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{A235AB1A-9658-45B5-9CE4-E85A1F4E5B3B}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35AB1A-9658-45B5-9CE4-E85A1F4E5B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7F12-BBDF-47C3-83DB-11EB53568150}">
  <dimension ref="A1:J132"/>
  <sheetViews>
    <sheetView tabSelected="1" zoomScaleNormal="100" workbookViewId="0">
      <selection activeCell="N27" sqref="N27"/>
    </sheetView>
  </sheetViews>
  <sheetFormatPr baseColWidth="10" defaultColWidth="11.42578125" defaultRowHeight="15" x14ac:dyDescent="0.25"/>
  <cols>
    <col min="6" max="6" width="23.7109375" customWidth="1"/>
  </cols>
  <sheetData>
    <row r="1" spans="1:10" x14ac:dyDescent="0.25">
      <c r="A1" s="1" t="s">
        <v>86</v>
      </c>
      <c r="B1" s="1" t="s">
        <v>85</v>
      </c>
      <c r="C1" s="1" t="s">
        <v>87</v>
      </c>
      <c r="D1" s="1" t="s">
        <v>88</v>
      </c>
      <c r="E1" s="1" t="s">
        <v>89</v>
      </c>
      <c r="F1" s="1"/>
      <c r="G1" s="1" t="s">
        <v>85</v>
      </c>
      <c r="H1" s="1" t="s">
        <v>87</v>
      </c>
      <c r="I1" s="1" t="s">
        <v>88</v>
      </c>
      <c r="J1" s="1" t="s">
        <v>89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 t="s">
        <v>51</v>
      </c>
      <c r="G2" cm="1">
        <f t="array" ref="G2:G129">B2:B129/B132</f>
        <v>0</v>
      </c>
      <c r="H2" cm="1">
        <f t="array" ref="H2:H129">C2:C129/C132</f>
        <v>0</v>
      </c>
      <c r="I2">
        <v>0</v>
      </c>
      <c r="J2">
        <v>0</v>
      </c>
    </row>
    <row r="3" spans="1:10" x14ac:dyDescent="0.25">
      <c r="A3">
        <f>A2+1</f>
        <v>1</v>
      </c>
      <c r="B3">
        <v>0</v>
      </c>
      <c r="C3">
        <v>0</v>
      </c>
      <c r="D3">
        <v>0</v>
      </c>
      <c r="E3">
        <v>0</v>
      </c>
      <c r="F3" s="3" t="s">
        <v>50</v>
      </c>
      <c r="G3">
        <v>0</v>
      </c>
      <c r="H3">
        <v>0</v>
      </c>
      <c r="I3" cm="1">
        <f t="array" ref="I3:I129">D3:D129/D132</f>
        <v>0</v>
      </c>
      <c r="J3">
        <v>0</v>
      </c>
    </row>
    <row r="4" spans="1:10" x14ac:dyDescent="0.25">
      <c r="A4">
        <f t="shared" ref="A4:A67" si="0">A3+1</f>
        <v>2</v>
      </c>
      <c r="B4">
        <v>0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J4" cm="1">
        <f t="array" ref="J4:J129">E4:E129/E132</f>
        <v>0</v>
      </c>
    </row>
    <row r="5" spans="1:10" x14ac:dyDescent="0.25">
      <c r="A5">
        <f t="shared" si="0"/>
        <v>3</v>
      </c>
      <c r="B5">
        <v>0</v>
      </c>
      <c r="C5">
        <v>0</v>
      </c>
      <c r="D5">
        <v>0</v>
      </c>
      <c r="E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f t="shared" si="0"/>
        <v>4</v>
      </c>
      <c r="B6">
        <v>0</v>
      </c>
      <c r="C6">
        <v>0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f t="shared" si="0"/>
        <v>5</v>
      </c>
      <c r="B7">
        <v>0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f t="shared" si="0"/>
        <v>6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f t="shared" si="0"/>
        <v>7</v>
      </c>
      <c r="B9">
        <v>0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f t="shared" si="0"/>
        <v>8</v>
      </c>
      <c r="B10">
        <v>0</v>
      </c>
      <c r="C10">
        <v>0</v>
      </c>
      <c r="D10">
        <v>0</v>
      </c>
      <c r="E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f t="shared" si="0"/>
        <v>9</v>
      </c>
      <c r="B11">
        <v>0</v>
      </c>
      <c r="C11">
        <v>0</v>
      </c>
      <c r="D11">
        <v>0</v>
      </c>
      <c r="E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f t="shared" si="0"/>
        <v>10</v>
      </c>
      <c r="B12">
        <v>0</v>
      </c>
      <c r="C12">
        <v>0</v>
      </c>
      <c r="D12">
        <v>0</v>
      </c>
      <c r="E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f t="shared" si="0"/>
        <v>11</v>
      </c>
      <c r="B13">
        <v>0</v>
      </c>
      <c r="C13">
        <v>0</v>
      </c>
      <c r="D13">
        <v>0</v>
      </c>
      <c r="E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f t="shared" si="0"/>
        <v>12</v>
      </c>
      <c r="B14">
        <v>0</v>
      </c>
      <c r="C14">
        <v>0</v>
      </c>
      <c r="D14">
        <v>0</v>
      </c>
      <c r="E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f t="shared" si="0"/>
        <v>13</v>
      </c>
      <c r="B15">
        <v>0</v>
      </c>
      <c r="C15">
        <v>0</v>
      </c>
      <c r="D15">
        <v>0</v>
      </c>
      <c r="E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f t="shared" si="0"/>
        <v>14</v>
      </c>
      <c r="B16">
        <v>0</v>
      </c>
      <c r="C16">
        <v>0</v>
      </c>
      <c r="D16">
        <v>0</v>
      </c>
      <c r="E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f t="shared" si="0"/>
        <v>15</v>
      </c>
      <c r="B17">
        <v>0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f t="shared" si="0"/>
        <v>16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f t="shared" si="0"/>
        <v>17</v>
      </c>
      <c r="B19">
        <v>0</v>
      </c>
      <c r="C19">
        <v>0</v>
      </c>
      <c r="D19">
        <v>0</v>
      </c>
      <c r="E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f t="shared" si="0"/>
        <v>18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f t="shared" si="0"/>
        <v>19</v>
      </c>
      <c r="B21">
        <v>0</v>
      </c>
      <c r="C21">
        <v>0</v>
      </c>
      <c r="D21">
        <v>0</v>
      </c>
      <c r="E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f t="shared" si="0"/>
        <v>20</v>
      </c>
      <c r="B22">
        <v>0</v>
      </c>
      <c r="C22">
        <v>0</v>
      </c>
      <c r="D22">
        <v>0</v>
      </c>
      <c r="E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f t="shared" si="0"/>
        <v>21</v>
      </c>
      <c r="B23">
        <v>0</v>
      </c>
      <c r="C23">
        <v>0</v>
      </c>
      <c r="D23">
        <v>0</v>
      </c>
      <c r="E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f t="shared" si="0"/>
        <v>22</v>
      </c>
      <c r="B24">
        <v>0</v>
      </c>
      <c r="C24">
        <v>0</v>
      </c>
      <c r="D24">
        <v>0</v>
      </c>
      <c r="E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f t="shared" si="0"/>
        <v>23</v>
      </c>
      <c r="B25">
        <v>0</v>
      </c>
      <c r="C25">
        <v>0</v>
      </c>
      <c r="D25">
        <v>0</v>
      </c>
      <c r="E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f t="shared" si="0"/>
        <v>24</v>
      </c>
      <c r="B26">
        <v>0</v>
      </c>
      <c r="C26">
        <v>0</v>
      </c>
      <c r="D26">
        <v>0</v>
      </c>
      <c r="E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f t="shared" si="0"/>
        <v>25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f t="shared" si="0"/>
        <v>26</v>
      </c>
      <c r="B28">
        <v>0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f t="shared" si="0"/>
        <v>27</v>
      </c>
      <c r="B29">
        <v>0</v>
      </c>
      <c r="C29">
        <v>0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f t="shared" si="0"/>
        <v>28</v>
      </c>
      <c r="B30">
        <v>0</v>
      </c>
      <c r="C30">
        <v>0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f t="shared" si="0"/>
        <v>29</v>
      </c>
      <c r="B31">
        <v>0</v>
      </c>
      <c r="C31">
        <v>0</v>
      </c>
      <c r="D31">
        <v>0</v>
      </c>
      <c r="E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f t="shared" si="0"/>
        <v>30</v>
      </c>
      <c r="B32">
        <v>0</v>
      </c>
      <c r="C32">
        <v>0</v>
      </c>
      <c r="D32">
        <v>0</v>
      </c>
      <c r="E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f t="shared" si="0"/>
        <v>31</v>
      </c>
      <c r="B33">
        <v>0</v>
      </c>
      <c r="C33">
        <v>0</v>
      </c>
      <c r="D33">
        <v>0</v>
      </c>
      <c r="E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f t="shared" si="0"/>
        <v>32</v>
      </c>
      <c r="B34">
        <v>0</v>
      </c>
      <c r="C34">
        <v>0</v>
      </c>
      <c r="D34">
        <v>0</v>
      </c>
      <c r="E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f t="shared" si="0"/>
        <v>33</v>
      </c>
      <c r="B35">
        <v>0</v>
      </c>
      <c r="C35">
        <v>0</v>
      </c>
      <c r="D35">
        <v>0</v>
      </c>
      <c r="E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f t="shared" si="0"/>
        <v>34</v>
      </c>
      <c r="B36">
        <v>0</v>
      </c>
      <c r="C36">
        <v>0</v>
      </c>
      <c r="D36">
        <v>0</v>
      </c>
      <c r="E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f t="shared" si="0"/>
        <v>35</v>
      </c>
      <c r="B37">
        <v>0</v>
      </c>
      <c r="C37">
        <v>0</v>
      </c>
      <c r="D37">
        <v>0</v>
      </c>
      <c r="E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f t="shared" si="0"/>
        <v>36</v>
      </c>
      <c r="B38">
        <v>0</v>
      </c>
      <c r="C38">
        <v>0</v>
      </c>
      <c r="D38">
        <v>0</v>
      </c>
      <c r="E38">
        <v>1</v>
      </c>
      <c r="G38">
        <v>0</v>
      </c>
      <c r="H38">
        <v>0</v>
      </c>
      <c r="I38">
        <v>0</v>
      </c>
      <c r="J38">
        <v>7.122507122507122E-5</v>
      </c>
    </row>
    <row r="39" spans="1:10" x14ac:dyDescent="0.25">
      <c r="A39">
        <f t="shared" si="0"/>
        <v>37</v>
      </c>
      <c r="B39">
        <v>0</v>
      </c>
      <c r="C39">
        <v>0</v>
      </c>
      <c r="D39">
        <v>0</v>
      </c>
      <c r="E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f t="shared" si="0"/>
        <v>38</v>
      </c>
      <c r="B40">
        <v>0</v>
      </c>
      <c r="C40">
        <v>0</v>
      </c>
      <c r="D40">
        <v>0</v>
      </c>
      <c r="E40">
        <v>7</v>
      </c>
      <c r="G40">
        <v>0</v>
      </c>
      <c r="H40">
        <v>0</v>
      </c>
      <c r="I40">
        <v>0</v>
      </c>
      <c r="J40">
        <v>4.9857549857549861E-4</v>
      </c>
    </row>
    <row r="41" spans="1:10" x14ac:dyDescent="0.25">
      <c r="A41">
        <f t="shared" si="0"/>
        <v>39</v>
      </c>
      <c r="B41">
        <v>0</v>
      </c>
      <c r="C41">
        <v>0</v>
      </c>
      <c r="D41">
        <v>0</v>
      </c>
      <c r="E41">
        <v>5</v>
      </c>
      <c r="G41">
        <v>0</v>
      </c>
      <c r="H41">
        <v>0</v>
      </c>
      <c r="I41">
        <v>0</v>
      </c>
      <c r="J41">
        <v>3.5612535612535614E-4</v>
      </c>
    </row>
    <row r="42" spans="1:10" x14ac:dyDescent="0.25">
      <c r="A42">
        <f t="shared" si="0"/>
        <v>40</v>
      </c>
      <c r="B42">
        <v>0</v>
      </c>
      <c r="C42">
        <v>0</v>
      </c>
      <c r="D42">
        <v>0</v>
      </c>
      <c r="E42">
        <v>46</v>
      </c>
      <c r="G42">
        <v>0</v>
      </c>
      <c r="H42">
        <v>0</v>
      </c>
      <c r="I42">
        <v>0</v>
      </c>
      <c r="J42">
        <v>3.2763532763532763E-3</v>
      </c>
    </row>
    <row r="43" spans="1:10" x14ac:dyDescent="0.25">
      <c r="A43">
        <f t="shared" si="0"/>
        <v>41</v>
      </c>
      <c r="B43">
        <v>0</v>
      </c>
      <c r="C43">
        <v>0</v>
      </c>
      <c r="D43">
        <v>0</v>
      </c>
      <c r="E43">
        <v>281</v>
      </c>
      <c r="G43">
        <v>0</v>
      </c>
      <c r="H43">
        <v>0</v>
      </c>
      <c r="I43">
        <v>0</v>
      </c>
      <c r="J43">
        <v>2.0014245014245015E-2</v>
      </c>
    </row>
    <row r="44" spans="1:10" x14ac:dyDescent="0.25">
      <c r="A44">
        <f t="shared" si="0"/>
        <v>42</v>
      </c>
      <c r="B44">
        <v>0</v>
      </c>
      <c r="C44">
        <v>0</v>
      </c>
      <c r="D44">
        <v>0</v>
      </c>
      <c r="E44">
        <v>111</v>
      </c>
      <c r="G44">
        <v>0</v>
      </c>
      <c r="H44">
        <v>0</v>
      </c>
      <c r="I44">
        <v>0</v>
      </c>
      <c r="J44">
        <v>7.9059829059829057E-3</v>
      </c>
    </row>
    <row r="45" spans="1:10" x14ac:dyDescent="0.25">
      <c r="A45">
        <f t="shared" si="0"/>
        <v>43</v>
      </c>
      <c r="B45">
        <v>0</v>
      </c>
      <c r="C45">
        <v>0</v>
      </c>
      <c r="D45">
        <v>0</v>
      </c>
      <c r="E45">
        <v>931</v>
      </c>
      <c r="G45">
        <v>0</v>
      </c>
      <c r="H45">
        <v>0</v>
      </c>
      <c r="I45">
        <v>0</v>
      </c>
      <c r="J45">
        <v>6.6310541310541316E-2</v>
      </c>
    </row>
    <row r="46" spans="1:10" x14ac:dyDescent="0.25">
      <c r="A46">
        <f t="shared" si="0"/>
        <v>44</v>
      </c>
      <c r="B46">
        <v>0</v>
      </c>
      <c r="C46">
        <v>0</v>
      </c>
      <c r="D46">
        <v>0</v>
      </c>
      <c r="E46">
        <v>96</v>
      </c>
      <c r="G46">
        <v>0</v>
      </c>
      <c r="H46">
        <v>0</v>
      </c>
      <c r="I46">
        <v>0</v>
      </c>
      <c r="J46">
        <v>6.8376068376068376E-3</v>
      </c>
    </row>
    <row r="47" spans="1:10" x14ac:dyDescent="0.25">
      <c r="A47">
        <f t="shared" si="0"/>
        <v>45</v>
      </c>
      <c r="B47">
        <v>0</v>
      </c>
      <c r="C47">
        <v>0</v>
      </c>
      <c r="D47">
        <v>0</v>
      </c>
      <c r="E47">
        <v>1313</v>
      </c>
      <c r="G47">
        <v>0</v>
      </c>
      <c r="H47">
        <v>0</v>
      </c>
      <c r="I47">
        <v>0</v>
      </c>
      <c r="J47">
        <v>9.3518518518518515E-2</v>
      </c>
    </row>
    <row r="48" spans="1:10" x14ac:dyDescent="0.25">
      <c r="A48">
        <f t="shared" si="0"/>
        <v>46</v>
      </c>
      <c r="B48">
        <v>0</v>
      </c>
      <c r="C48">
        <v>0</v>
      </c>
      <c r="D48">
        <v>0</v>
      </c>
      <c r="E48">
        <v>739</v>
      </c>
      <c r="G48">
        <v>0</v>
      </c>
      <c r="H48">
        <v>0</v>
      </c>
      <c r="I48">
        <v>0</v>
      </c>
      <c r="J48">
        <v>5.2635327635327633E-2</v>
      </c>
    </row>
    <row r="49" spans="1:10" x14ac:dyDescent="0.25">
      <c r="A49">
        <f t="shared" si="0"/>
        <v>47</v>
      </c>
      <c r="B49">
        <v>0</v>
      </c>
      <c r="C49">
        <v>0</v>
      </c>
      <c r="D49">
        <v>1</v>
      </c>
      <c r="E49">
        <v>815</v>
      </c>
      <c r="G49">
        <v>0</v>
      </c>
      <c r="H49">
        <v>0</v>
      </c>
      <c r="I49">
        <v>7.1540992988982689E-5</v>
      </c>
      <c r="J49">
        <v>5.8048433048433046E-2</v>
      </c>
    </row>
    <row r="50" spans="1:10" x14ac:dyDescent="0.25">
      <c r="A50">
        <f t="shared" si="0"/>
        <v>48</v>
      </c>
      <c r="B50">
        <v>0</v>
      </c>
      <c r="C50">
        <v>0</v>
      </c>
      <c r="D50">
        <v>16</v>
      </c>
      <c r="E50">
        <v>1953</v>
      </c>
      <c r="G50">
        <v>0</v>
      </c>
      <c r="H50">
        <v>0</v>
      </c>
      <c r="I50">
        <v>1.144655887823723E-3</v>
      </c>
      <c r="J50">
        <v>0.13910256410256411</v>
      </c>
    </row>
    <row r="51" spans="1:10" x14ac:dyDescent="0.25">
      <c r="A51">
        <f t="shared" si="0"/>
        <v>49</v>
      </c>
      <c r="B51">
        <v>0</v>
      </c>
      <c r="C51">
        <v>0</v>
      </c>
      <c r="D51">
        <v>8</v>
      </c>
      <c r="E51">
        <v>236</v>
      </c>
      <c r="G51">
        <v>0</v>
      </c>
      <c r="H51">
        <v>0</v>
      </c>
      <c r="I51">
        <v>5.7232794391186151E-4</v>
      </c>
      <c r="J51">
        <v>1.6809116809116811E-2</v>
      </c>
    </row>
    <row r="52" spans="1:10" x14ac:dyDescent="0.25">
      <c r="A52">
        <f t="shared" si="0"/>
        <v>50</v>
      </c>
      <c r="B52">
        <v>0</v>
      </c>
      <c r="C52">
        <v>0</v>
      </c>
      <c r="D52">
        <v>181</v>
      </c>
      <c r="E52">
        <v>2656</v>
      </c>
      <c r="G52">
        <v>0</v>
      </c>
      <c r="H52">
        <v>0</v>
      </c>
      <c r="I52">
        <v>1.2948919731005867E-2</v>
      </c>
      <c r="J52">
        <v>0.18917378917378919</v>
      </c>
    </row>
    <row r="53" spans="1:10" x14ac:dyDescent="0.25">
      <c r="A53">
        <f t="shared" si="0"/>
        <v>51</v>
      </c>
      <c r="B53">
        <v>0</v>
      </c>
      <c r="C53">
        <v>0</v>
      </c>
      <c r="D53">
        <v>104</v>
      </c>
      <c r="E53">
        <v>467</v>
      </c>
      <c r="G53">
        <v>0</v>
      </c>
      <c r="H53">
        <v>0</v>
      </c>
      <c r="I53">
        <v>7.4402632708541992E-3</v>
      </c>
      <c r="J53">
        <v>3.3262108262108264E-2</v>
      </c>
    </row>
    <row r="54" spans="1:10" x14ac:dyDescent="0.25">
      <c r="A54">
        <f t="shared" si="0"/>
        <v>52</v>
      </c>
      <c r="B54">
        <v>0</v>
      </c>
      <c r="C54">
        <v>1</v>
      </c>
      <c r="D54">
        <v>708</v>
      </c>
      <c r="E54">
        <v>1324</v>
      </c>
      <c r="G54">
        <v>0</v>
      </c>
      <c r="H54">
        <v>7.040766035344645E-5</v>
      </c>
      <c r="I54">
        <v>5.0651023036199741E-2</v>
      </c>
      <c r="J54">
        <v>9.4301994301994305E-2</v>
      </c>
    </row>
    <row r="55" spans="1:10" x14ac:dyDescent="0.25">
      <c r="A55">
        <f t="shared" si="0"/>
        <v>53</v>
      </c>
      <c r="B55">
        <v>0</v>
      </c>
      <c r="C55">
        <v>4</v>
      </c>
      <c r="D55">
        <v>875</v>
      </c>
      <c r="E55">
        <v>1243</v>
      </c>
      <c r="G55">
        <v>0</v>
      </c>
      <c r="H55">
        <v>2.816306414137858E-4</v>
      </c>
      <c r="I55">
        <v>6.2598368865359855E-2</v>
      </c>
      <c r="J55">
        <v>8.8532763532763528E-2</v>
      </c>
    </row>
    <row r="56" spans="1:10" x14ac:dyDescent="0.25">
      <c r="A56">
        <f t="shared" si="0"/>
        <v>54</v>
      </c>
      <c r="B56">
        <v>0</v>
      </c>
      <c r="C56">
        <v>5</v>
      </c>
      <c r="D56">
        <v>767</v>
      </c>
      <c r="E56">
        <v>306</v>
      </c>
      <c r="G56">
        <v>0</v>
      </c>
      <c r="H56">
        <v>3.5203830176723229E-4</v>
      </c>
      <c r="I56">
        <v>5.4871941622549721E-2</v>
      </c>
      <c r="J56">
        <v>2.1794871794871794E-2</v>
      </c>
    </row>
    <row r="57" spans="1:10" x14ac:dyDescent="0.25">
      <c r="A57">
        <f t="shared" si="0"/>
        <v>55</v>
      </c>
      <c r="B57">
        <v>0</v>
      </c>
      <c r="C57">
        <v>63</v>
      </c>
      <c r="D57">
        <v>2224</v>
      </c>
      <c r="E57">
        <v>1039</v>
      </c>
      <c r="G57">
        <v>0</v>
      </c>
      <c r="H57">
        <v>4.4356826022671266E-3</v>
      </c>
      <c r="I57">
        <v>0.1591071684074975</v>
      </c>
      <c r="J57">
        <v>7.4002849002849008E-2</v>
      </c>
    </row>
    <row r="58" spans="1:10" x14ac:dyDescent="0.25">
      <c r="A58">
        <f t="shared" si="0"/>
        <v>56</v>
      </c>
      <c r="B58">
        <v>0</v>
      </c>
      <c r="C58">
        <v>7</v>
      </c>
      <c r="D58">
        <v>293</v>
      </c>
      <c r="E58">
        <v>33</v>
      </c>
      <c r="G58">
        <v>0</v>
      </c>
      <c r="H58">
        <v>4.9285362247412522E-4</v>
      </c>
      <c r="I58">
        <v>2.0961510945771929E-2</v>
      </c>
      <c r="J58">
        <v>2.3504273504273503E-3</v>
      </c>
    </row>
    <row r="59" spans="1:10" x14ac:dyDescent="0.25">
      <c r="A59">
        <f t="shared" si="0"/>
        <v>57</v>
      </c>
      <c r="B59">
        <v>1</v>
      </c>
      <c r="C59">
        <v>522</v>
      </c>
      <c r="D59">
        <v>2769</v>
      </c>
      <c r="E59">
        <v>345</v>
      </c>
      <c r="G59">
        <v>7.0641424131110485E-5</v>
      </c>
      <c r="H59">
        <v>3.6752798704499053E-2</v>
      </c>
      <c r="I59">
        <v>0.19809700958649307</v>
      </c>
      <c r="J59">
        <v>2.4572649572649572E-2</v>
      </c>
    </row>
    <row r="60" spans="1:10" x14ac:dyDescent="0.25">
      <c r="A60">
        <f t="shared" si="0"/>
        <v>58</v>
      </c>
      <c r="B60">
        <v>14</v>
      </c>
      <c r="C60">
        <v>244</v>
      </c>
      <c r="D60">
        <v>1115</v>
      </c>
      <c r="E60">
        <v>49</v>
      </c>
      <c r="G60">
        <v>9.8897993783554671E-4</v>
      </c>
      <c r="H60">
        <v>1.7179469126240934E-2</v>
      </c>
      <c r="I60">
        <v>7.9768207182715697E-2</v>
      </c>
      <c r="J60">
        <v>3.4900284900284901E-3</v>
      </c>
    </row>
    <row r="61" spans="1:10" x14ac:dyDescent="0.25">
      <c r="A61">
        <f t="shared" si="0"/>
        <v>59</v>
      </c>
      <c r="B61">
        <v>8</v>
      </c>
      <c r="C61">
        <v>774</v>
      </c>
      <c r="D61">
        <v>1180</v>
      </c>
      <c r="E61">
        <v>26</v>
      </c>
      <c r="G61">
        <v>5.6513139304888388E-4</v>
      </c>
      <c r="H61">
        <v>5.4495529113567559E-2</v>
      </c>
      <c r="I61">
        <v>8.4418371726999578E-2</v>
      </c>
      <c r="J61">
        <v>1.8518518518518519E-3</v>
      </c>
    </row>
    <row r="62" spans="1:10" x14ac:dyDescent="0.25">
      <c r="A62">
        <f t="shared" si="0"/>
        <v>60</v>
      </c>
      <c r="B62">
        <v>202</v>
      </c>
      <c r="C62">
        <v>1623</v>
      </c>
      <c r="D62">
        <v>1935</v>
      </c>
      <c r="E62">
        <v>15</v>
      </c>
      <c r="G62">
        <v>1.4269567674484318E-2</v>
      </c>
      <c r="H62">
        <v>0.11427163275364359</v>
      </c>
      <c r="I62">
        <v>0.13843182143368149</v>
      </c>
      <c r="J62">
        <v>1.0683760683760685E-3</v>
      </c>
    </row>
    <row r="63" spans="1:10" x14ac:dyDescent="0.25">
      <c r="A63">
        <f t="shared" si="0"/>
        <v>61</v>
      </c>
      <c r="B63">
        <v>38</v>
      </c>
      <c r="C63">
        <v>578</v>
      </c>
      <c r="D63">
        <v>152</v>
      </c>
      <c r="E63">
        <v>0</v>
      </c>
      <c r="G63">
        <v>2.6843741169821985E-3</v>
      </c>
      <c r="H63">
        <v>4.0695627684292052E-2</v>
      </c>
      <c r="I63">
        <v>1.0874230934325369E-2</v>
      </c>
      <c r="J63">
        <v>0</v>
      </c>
    </row>
    <row r="64" spans="1:10" x14ac:dyDescent="0.25">
      <c r="A64">
        <f t="shared" si="0"/>
        <v>62</v>
      </c>
      <c r="B64">
        <v>812</v>
      </c>
      <c r="C64">
        <v>3502</v>
      </c>
      <c r="D64">
        <v>1213</v>
      </c>
      <c r="E64">
        <v>3</v>
      </c>
      <c r="G64">
        <v>5.7360836394461712E-2</v>
      </c>
      <c r="H64">
        <v>0.24656762655776948</v>
      </c>
      <c r="I64">
        <v>8.6779224495635993E-2</v>
      </c>
      <c r="J64">
        <v>2.1367521367521368E-4</v>
      </c>
    </row>
    <row r="65" spans="1:10" x14ac:dyDescent="0.25">
      <c r="A65">
        <f t="shared" si="0"/>
        <v>63</v>
      </c>
      <c r="B65">
        <v>206</v>
      </c>
      <c r="C65">
        <v>730</v>
      </c>
      <c r="D65">
        <v>96</v>
      </c>
      <c r="E65">
        <v>0</v>
      </c>
      <c r="G65">
        <v>1.455213337100876E-2</v>
      </c>
      <c r="H65">
        <v>5.139759205801591E-2</v>
      </c>
      <c r="I65">
        <v>6.8679353269423381E-3</v>
      </c>
      <c r="J65">
        <v>0</v>
      </c>
    </row>
    <row r="66" spans="1:10" x14ac:dyDescent="0.25">
      <c r="A66">
        <f t="shared" si="0"/>
        <v>64</v>
      </c>
      <c r="B66">
        <v>940</v>
      </c>
      <c r="C66">
        <v>2422</v>
      </c>
      <c r="D66">
        <v>263</v>
      </c>
      <c r="E66">
        <v>0</v>
      </c>
      <c r="G66">
        <v>6.6402938683243859E-2</v>
      </c>
      <c r="H66">
        <v>0.17052735337604732</v>
      </c>
      <c r="I66">
        <v>1.8815281156102447E-2</v>
      </c>
      <c r="J66">
        <v>0</v>
      </c>
    </row>
    <row r="67" spans="1:10" x14ac:dyDescent="0.25">
      <c r="A67">
        <f t="shared" si="0"/>
        <v>65</v>
      </c>
      <c r="B67">
        <v>1246</v>
      </c>
      <c r="C67">
        <v>1766</v>
      </c>
      <c r="D67">
        <v>61</v>
      </c>
      <c r="E67">
        <v>0</v>
      </c>
      <c r="G67">
        <v>8.801921446736366E-2</v>
      </c>
      <c r="H67">
        <v>0.12433992818418645</v>
      </c>
      <c r="I67">
        <v>4.3640005723279435E-3</v>
      </c>
      <c r="J67">
        <v>0</v>
      </c>
    </row>
    <row r="68" spans="1:10" x14ac:dyDescent="0.25">
      <c r="A68">
        <f t="shared" ref="A68:A129" si="1">A67+1</f>
        <v>66</v>
      </c>
      <c r="B68">
        <v>718</v>
      </c>
      <c r="C68">
        <v>658</v>
      </c>
      <c r="D68">
        <v>12</v>
      </c>
      <c r="E68">
        <v>0</v>
      </c>
      <c r="G68">
        <v>5.0720542526137329E-2</v>
      </c>
      <c r="H68">
        <v>4.6328240512567766E-2</v>
      </c>
      <c r="I68">
        <v>8.5849191586779227E-4</v>
      </c>
      <c r="J68">
        <v>0</v>
      </c>
    </row>
    <row r="69" spans="1:10" x14ac:dyDescent="0.25">
      <c r="A69">
        <f t="shared" si="1"/>
        <v>67</v>
      </c>
      <c r="B69">
        <v>2655</v>
      </c>
      <c r="C69">
        <v>1084</v>
      </c>
      <c r="D69">
        <v>5</v>
      </c>
      <c r="E69">
        <v>0</v>
      </c>
      <c r="G69">
        <v>0.18755298106809834</v>
      </c>
      <c r="H69">
        <v>7.6321903823135959E-2</v>
      </c>
      <c r="I69">
        <v>3.5770496494491345E-4</v>
      </c>
      <c r="J69">
        <v>0</v>
      </c>
    </row>
    <row r="70" spans="1:10" x14ac:dyDescent="0.25">
      <c r="A70">
        <f t="shared" si="1"/>
        <v>68</v>
      </c>
      <c r="B70">
        <v>235</v>
      </c>
      <c r="C70">
        <v>43</v>
      </c>
      <c r="D70">
        <v>0</v>
      </c>
      <c r="E70">
        <v>0</v>
      </c>
      <c r="G70">
        <v>1.6600734670810965E-2</v>
      </c>
      <c r="H70">
        <v>3.0275293951981977E-3</v>
      </c>
      <c r="I70">
        <v>0</v>
      </c>
      <c r="J70">
        <v>0</v>
      </c>
    </row>
    <row r="71" spans="1:10" x14ac:dyDescent="0.25">
      <c r="A71">
        <f t="shared" si="1"/>
        <v>69</v>
      </c>
      <c r="B71">
        <v>2832</v>
      </c>
      <c r="C71">
        <v>152</v>
      </c>
      <c r="D71">
        <v>0</v>
      </c>
      <c r="E71">
        <v>0</v>
      </c>
      <c r="G71">
        <v>0.20005651313930489</v>
      </c>
      <c r="H71">
        <v>1.070196437372386E-2</v>
      </c>
      <c r="I71">
        <v>0</v>
      </c>
      <c r="J71">
        <v>0</v>
      </c>
    </row>
    <row r="72" spans="1:10" x14ac:dyDescent="0.25">
      <c r="A72">
        <f t="shared" si="1"/>
        <v>70</v>
      </c>
      <c r="B72">
        <v>851</v>
      </c>
      <c r="C72">
        <v>19</v>
      </c>
      <c r="D72">
        <v>0</v>
      </c>
      <c r="E72">
        <v>0</v>
      </c>
      <c r="G72">
        <v>6.0115851935575018E-2</v>
      </c>
      <c r="H72">
        <v>1.3377455467154826E-3</v>
      </c>
      <c r="I72">
        <v>0</v>
      </c>
      <c r="J72">
        <v>0</v>
      </c>
    </row>
    <row r="73" spans="1:10" x14ac:dyDescent="0.25">
      <c r="A73">
        <f t="shared" si="1"/>
        <v>71</v>
      </c>
      <c r="B73">
        <v>1171</v>
      </c>
      <c r="C73">
        <v>5</v>
      </c>
      <c r="D73">
        <v>0</v>
      </c>
      <c r="E73">
        <v>0</v>
      </c>
      <c r="G73">
        <v>8.2721107657530379E-2</v>
      </c>
      <c r="H73">
        <v>3.5203830176723229E-4</v>
      </c>
      <c r="I73">
        <v>0</v>
      </c>
      <c r="J73">
        <v>0</v>
      </c>
    </row>
    <row r="74" spans="1:10" x14ac:dyDescent="0.25">
      <c r="A74">
        <f t="shared" si="1"/>
        <v>72</v>
      </c>
      <c r="B74">
        <v>1268</v>
      </c>
      <c r="C74">
        <v>1</v>
      </c>
      <c r="D74">
        <v>0</v>
      </c>
      <c r="E74">
        <v>0</v>
      </c>
      <c r="G74">
        <v>8.9573325798248088E-2</v>
      </c>
      <c r="H74">
        <v>7.040766035344645E-5</v>
      </c>
      <c r="I74">
        <v>0</v>
      </c>
      <c r="J74">
        <v>0</v>
      </c>
    </row>
    <row r="75" spans="1:10" x14ac:dyDescent="0.25">
      <c r="A75">
        <f t="shared" si="1"/>
        <v>73</v>
      </c>
      <c r="B75">
        <v>190</v>
      </c>
      <c r="C75">
        <v>0</v>
      </c>
      <c r="D75">
        <v>0</v>
      </c>
      <c r="E75">
        <v>0</v>
      </c>
      <c r="G75">
        <v>1.3421870584910992E-2</v>
      </c>
      <c r="H75">
        <v>0</v>
      </c>
      <c r="I75">
        <v>0</v>
      </c>
      <c r="J75">
        <v>0</v>
      </c>
    </row>
    <row r="76" spans="1:10" x14ac:dyDescent="0.25">
      <c r="A76">
        <f t="shared" si="1"/>
        <v>74</v>
      </c>
      <c r="B76">
        <v>681</v>
      </c>
      <c r="C76">
        <v>0</v>
      </c>
      <c r="D76">
        <v>0</v>
      </c>
      <c r="E76">
        <v>0</v>
      </c>
      <c r="G76">
        <v>4.8106809833286239E-2</v>
      </c>
      <c r="H76">
        <v>0</v>
      </c>
      <c r="I76">
        <v>0</v>
      </c>
      <c r="J76">
        <v>0</v>
      </c>
    </row>
    <row r="77" spans="1:10" x14ac:dyDescent="0.25">
      <c r="A77">
        <f t="shared" si="1"/>
        <v>75</v>
      </c>
      <c r="B77">
        <v>56</v>
      </c>
      <c r="C77">
        <v>0</v>
      </c>
      <c r="D77">
        <v>0</v>
      </c>
      <c r="E77">
        <v>0</v>
      </c>
      <c r="G77">
        <v>3.9559197513421868E-3</v>
      </c>
      <c r="H77">
        <v>0</v>
      </c>
      <c r="I77">
        <v>0</v>
      </c>
      <c r="J77">
        <v>0</v>
      </c>
    </row>
    <row r="78" spans="1:10" x14ac:dyDescent="0.25">
      <c r="A78">
        <f t="shared" si="1"/>
        <v>76</v>
      </c>
      <c r="B78">
        <v>32</v>
      </c>
      <c r="C78">
        <v>0</v>
      </c>
      <c r="D78">
        <v>0</v>
      </c>
      <c r="E78">
        <v>0</v>
      </c>
      <c r="G78">
        <v>2.2605255721955355E-3</v>
      </c>
      <c r="H78">
        <v>0</v>
      </c>
      <c r="I78">
        <v>0</v>
      </c>
      <c r="J78">
        <v>0</v>
      </c>
    </row>
    <row r="79" spans="1:10" x14ac:dyDescent="0.25">
      <c r="A79">
        <f t="shared" si="1"/>
        <v>77</v>
      </c>
      <c r="B79">
        <v>0</v>
      </c>
      <c r="C79">
        <v>0</v>
      </c>
      <c r="D79">
        <v>0</v>
      </c>
      <c r="E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f t="shared" si="1"/>
        <v>78</v>
      </c>
      <c r="B80">
        <v>0</v>
      </c>
      <c r="C80">
        <v>0</v>
      </c>
      <c r="D80">
        <v>0</v>
      </c>
      <c r="E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f t="shared" si="1"/>
        <v>79</v>
      </c>
      <c r="B81">
        <v>0</v>
      </c>
      <c r="C81">
        <v>0</v>
      </c>
      <c r="D81">
        <v>0</v>
      </c>
      <c r="E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f t="shared" si="1"/>
        <v>80</v>
      </c>
      <c r="B82">
        <v>0</v>
      </c>
      <c r="C82">
        <v>0</v>
      </c>
      <c r="D82">
        <v>0</v>
      </c>
      <c r="E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f t="shared" si="1"/>
        <v>81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f t="shared" si="1"/>
        <v>82</v>
      </c>
      <c r="B84">
        <v>0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f t="shared" si="1"/>
        <v>83</v>
      </c>
      <c r="B85">
        <v>0</v>
      </c>
      <c r="C85">
        <v>0</v>
      </c>
      <c r="D85">
        <v>0</v>
      </c>
      <c r="E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f t="shared" si="1"/>
        <v>84</v>
      </c>
      <c r="B86">
        <v>0</v>
      </c>
      <c r="C86">
        <v>0</v>
      </c>
      <c r="D86">
        <v>0</v>
      </c>
      <c r="E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>
        <f t="shared" si="1"/>
        <v>85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f t="shared" si="1"/>
        <v>86</v>
      </c>
      <c r="B88">
        <v>0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f t="shared" si="1"/>
        <v>87</v>
      </c>
      <c r="B89">
        <v>0</v>
      </c>
      <c r="C89">
        <v>0</v>
      </c>
      <c r="D89">
        <v>0</v>
      </c>
      <c r="E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>
        <f t="shared" si="1"/>
        <v>88</v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f t="shared" si="1"/>
        <v>89</v>
      </c>
      <c r="B91">
        <v>0</v>
      </c>
      <c r="C91">
        <v>0</v>
      </c>
      <c r="D91">
        <v>0</v>
      </c>
      <c r="E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f t="shared" si="1"/>
        <v>90</v>
      </c>
      <c r="B92">
        <v>0</v>
      </c>
      <c r="C92">
        <v>0</v>
      </c>
      <c r="D92">
        <v>0</v>
      </c>
      <c r="E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f t="shared" si="1"/>
        <v>91</v>
      </c>
      <c r="B93">
        <v>0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f t="shared" si="1"/>
        <v>92</v>
      </c>
      <c r="B94">
        <v>0</v>
      </c>
      <c r="C94">
        <v>0</v>
      </c>
      <c r="D94">
        <v>0</v>
      </c>
      <c r="E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f t="shared" si="1"/>
        <v>93</v>
      </c>
      <c r="B95">
        <v>0</v>
      </c>
      <c r="C95">
        <v>0</v>
      </c>
      <c r="D95">
        <v>0</v>
      </c>
      <c r="E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f t="shared" si="1"/>
        <v>94</v>
      </c>
      <c r="B96">
        <v>0</v>
      </c>
      <c r="C96">
        <v>0</v>
      </c>
      <c r="D96">
        <v>0</v>
      </c>
      <c r="E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f t="shared" si="1"/>
        <v>95</v>
      </c>
      <c r="B97">
        <v>0</v>
      </c>
      <c r="C97">
        <v>0</v>
      </c>
      <c r="D97">
        <v>0</v>
      </c>
      <c r="E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f t="shared" si="1"/>
        <v>96</v>
      </c>
      <c r="B98">
        <v>0</v>
      </c>
      <c r="C98">
        <v>0</v>
      </c>
      <c r="D98">
        <v>0</v>
      </c>
      <c r="E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f t="shared" si="1"/>
        <v>97</v>
      </c>
      <c r="B99">
        <v>0</v>
      </c>
      <c r="C99">
        <v>0</v>
      </c>
      <c r="D99">
        <v>0</v>
      </c>
      <c r="E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f t="shared" si="1"/>
        <v>98</v>
      </c>
      <c r="B100">
        <v>0</v>
      </c>
      <c r="C100">
        <v>0</v>
      </c>
      <c r="D100">
        <v>0</v>
      </c>
      <c r="E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f t="shared" si="1"/>
        <v>99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f t="shared" si="1"/>
        <v>100</v>
      </c>
      <c r="B102">
        <v>0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f t="shared" si="1"/>
        <v>101</v>
      </c>
      <c r="B103">
        <v>0</v>
      </c>
      <c r="C103">
        <v>0</v>
      </c>
      <c r="D103">
        <v>0</v>
      </c>
      <c r="E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f t="shared" si="1"/>
        <v>102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f t="shared" si="1"/>
        <v>103</v>
      </c>
      <c r="B105">
        <v>0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f t="shared" si="1"/>
        <v>104</v>
      </c>
      <c r="B106">
        <v>0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f t="shared" si="1"/>
        <v>105</v>
      </c>
      <c r="B107">
        <v>0</v>
      </c>
      <c r="C107">
        <v>0</v>
      </c>
      <c r="D107">
        <v>0</v>
      </c>
      <c r="E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f t="shared" si="1"/>
        <v>106</v>
      </c>
      <c r="B108">
        <v>0</v>
      </c>
      <c r="C108">
        <v>0</v>
      </c>
      <c r="D108">
        <v>0</v>
      </c>
      <c r="E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f t="shared" si="1"/>
        <v>107</v>
      </c>
      <c r="B109">
        <v>0</v>
      </c>
      <c r="C109">
        <v>0</v>
      </c>
      <c r="D109">
        <v>0</v>
      </c>
      <c r="E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f t="shared" si="1"/>
        <v>108</v>
      </c>
      <c r="B110">
        <v>0</v>
      </c>
      <c r="C110">
        <v>0</v>
      </c>
      <c r="D110">
        <v>0</v>
      </c>
      <c r="E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f t="shared" si="1"/>
        <v>109</v>
      </c>
      <c r="B111">
        <v>0</v>
      </c>
      <c r="C111">
        <v>0</v>
      </c>
      <c r="D111">
        <v>0</v>
      </c>
      <c r="E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f t="shared" si="1"/>
        <v>110</v>
      </c>
      <c r="B112">
        <v>0</v>
      </c>
      <c r="C112">
        <v>0</v>
      </c>
      <c r="D112">
        <v>0</v>
      </c>
      <c r="E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f t="shared" si="1"/>
        <v>111</v>
      </c>
      <c r="B113">
        <v>0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f t="shared" si="1"/>
        <v>112</v>
      </c>
      <c r="B114">
        <v>0</v>
      </c>
      <c r="C114">
        <v>0</v>
      </c>
      <c r="D114">
        <v>0</v>
      </c>
      <c r="E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>
        <f t="shared" si="1"/>
        <v>113</v>
      </c>
      <c r="B115">
        <v>0</v>
      </c>
      <c r="C115">
        <v>0</v>
      </c>
      <c r="D115">
        <v>0</v>
      </c>
      <c r="E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f t="shared" si="1"/>
        <v>114</v>
      </c>
      <c r="B116">
        <v>0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f t="shared" si="1"/>
        <v>115</v>
      </c>
      <c r="B117">
        <v>0</v>
      </c>
      <c r="C117">
        <v>0</v>
      </c>
      <c r="D117">
        <v>0</v>
      </c>
      <c r="E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f t="shared" si="1"/>
        <v>116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f t="shared" si="1"/>
        <v>117</v>
      </c>
      <c r="B119">
        <v>0</v>
      </c>
      <c r="C119">
        <v>0</v>
      </c>
      <c r="D119">
        <v>0</v>
      </c>
      <c r="E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f t="shared" si="1"/>
        <v>118</v>
      </c>
      <c r="B120">
        <v>0</v>
      </c>
      <c r="C120">
        <v>0</v>
      </c>
      <c r="D120">
        <v>0</v>
      </c>
      <c r="E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f t="shared" si="1"/>
        <v>119</v>
      </c>
      <c r="B121">
        <v>0</v>
      </c>
      <c r="C121">
        <v>0</v>
      </c>
      <c r="D121">
        <v>0</v>
      </c>
      <c r="E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f t="shared" si="1"/>
        <v>120</v>
      </c>
      <c r="B122">
        <v>0</v>
      </c>
      <c r="C122">
        <v>0</v>
      </c>
      <c r="D122">
        <v>0</v>
      </c>
      <c r="E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f t="shared" si="1"/>
        <v>121</v>
      </c>
      <c r="B123">
        <v>0</v>
      </c>
      <c r="C123">
        <v>0</v>
      </c>
      <c r="D123">
        <v>0</v>
      </c>
      <c r="E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f t="shared" si="1"/>
        <v>122</v>
      </c>
      <c r="B124">
        <v>0</v>
      </c>
      <c r="C124">
        <v>0</v>
      </c>
      <c r="D124">
        <v>0</v>
      </c>
      <c r="E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f t="shared" si="1"/>
        <v>123</v>
      </c>
      <c r="B125">
        <v>0</v>
      </c>
      <c r="C125">
        <v>0</v>
      </c>
      <c r="D125">
        <v>0</v>
      </c>
      <c r="E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f t="shared" si="1"/>
        <v>124</v>
      </c>
      <c r="B126">
        <v>0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f t="shared" si="1"/>
        <v>125</v>
      </c>
      <c r="B127">
        <v>0</v>
      </c>
      <c r="C127">
        <v>0</v>
      </c>
      <c r="D127">
        <v>0</v>
      </c>
      <c r="E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f t="shared" si="1"/>
        <v>126</v>
      </c>
      <c r="B128">
        <v>0</v>
      </c>
      <c r="C128">
        <v>0</v>
      </c>
      <c r="D128">
        <v>0</v>
      </c>
      <c r="E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f t="shared" si="1"/>
        <v>127</v>
      </c>
      <c r="B129">
        <v>0</v>
      </c>
      <c r="C129">
        <v>0</v>
      </c>
      <c r="D129">
        <v>0</v>
      </c>
      <c r="E129">
        <v>0</v>
      </c>
      <c r="G129">
        <v>0</v>
      </c>
      <c r="H129">
        <v>0</v>
      </c>
      <c r="I129">
        <v>0</v>
      </c>
      <c r="J129">
        <v>0</v>
      </c>
    </row>
    <row r="132" spans="1:10" x14ac:dyDescent="0.25">
      <c r="B132" s="2">
        <f>SUM(B2:B129)</f>
        <v>14156</v>
      </c>
      <c r="C132" s="2">
        <f>SUM(C2:C129)</f>
        <v>14203</v>
      </c>
      <c r="D132" s="2">
        <f>SUM(D2:D129)</f>
        <v>13978</v>
      </c>
      <c r="E132" s="2">
        <f>SUM(E2:E129)</f>
        <v>14040</v>
      </c>
      <c r="F132" s="1" t="s">
        <v>48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3396-0DAF-40B2-9989-E6BFF7229F87}">
  <dimension ref="A1:L84"/>
  <sheetViews>
    <sheetView topLeftCell="D1" zoomScale="115" zoomScaleNormal="115" workbookViewId="0">
      <selection activeCell="X20" sqref="X20"/>
    </sheetView>
  </sheetViews>
  <sheetFormatPr baseColWidth="10" defaultColWidth="11.42578125" defaultRowHeight="15" x14ac:dyDescent="0.25"/>
  <cols>
    <col min="1" max="1" width="40.85546875" customWidth="1"/>
    <col min="2" max="2" width="14.7109375" customWidth="1"/>
    <col min="3" max="3" width="12.85546875" customWidth="1"/>
    <col min="4" max="4" width="14.140625" customWidth="1"/>
    <col min="5" max="5" width="15.85546875" customWidth="1"/>
    <col min="8" max="8" width="16.7109375" customWidth="1"/>
    <col min="9" max="9" width="14.42578125" customWidth="1"/>
    <col min="10" max="10" width="12.140625" customWidth="1"/>
    <col min="11" max="11" width="12.85546875" customWidth="1"/>
    <col min="12" max="12" width="13.28515625" customWidth="1"/>
  </cols>
  <sheetData>
    <row r="1" spans="1:12" x14ac:dyDescent="0.25">
      <c r="A1" s="20" t="s">
        <v>0</v>
      </c>
      <c r="B1" s="22" t="s">
        <v>1</v>
      </c>
      <c r="C1" s="23"/>
      <c r="D1" s="23"/>
      <c r="E1" s="24"/>
      <c r="H1" s="20" t="s">
        <v>30</v>
      </c>
      <c r="I1" s="22" t="s">
        <v>1</v>
      </c>
      <c r="J1" s="23"/>
      <c r="K1" s="23"/>
      <c r="L1" s="24"/>
    </row>
    <row r="2" spans="1:12" x14ac:dyDescent="0.25">
      <c r="A2" s="21"/>
      <c r="B2" s="1" t="s">
        <v>2</v>
      </c>
      <c r="C2" s="1" t="s">
        <v>3</v>
      </c>
      <c r="D2" s="1" t="s">
        <v>4</v>
      </c>
      <c r="E2" s="1" t="s">
        <v>5</v>
      </c>
      <c r="H2" s="21"/>
      <c r="I2" s="1" t="s">
        <v>2</v>
      </c>
      <c r="J2" s="1" t="s">
        <v>3</v>
      </c>
      <c r="K2" s="1" t="s">
        <v>4</v>
      </c>
      <c r="L2" s="1" t="s">
        <v>5</v>
      </c>
    </row>
    <row r="3" spans="1:12" x14ac:dyDescent="0.25">
      <c r="A3" t="s">
        <v>26</v>
      </c>
      <c r="B3">
        <v>0</v>
      </c>
      <c r="C3">
        <v>0</v>
      </c>
      <c r="D3">
        <v>1</v>
      </c>
      <c r="E3">
        <v>0</v>
      </c>
      <c r="H3">
        <v>-4</v>
      </c>
      <c r="I3">
        <f t="shared" ref="I3:K4" si="0">B3</f>
        <v>0</v>
      </c>
      <c r="J3">
        <f t="shared" si="0"/>
        <v>0</v>
      </c>
      <c r="K3">
        <f t="shared" si="0"/>
        <v>1</v>
      </c>
      <c r="L3">
        <f>E3</f>
        <v>0</v>
      </c>
    </row>
    <row r="4" spans="1:12" x14ac:dyDescent="0.25">
      <c r="A4" t="s">
        <v>25</v>
      </c>
      <c r="B4">
        <v>0</v>
      </c>
      <c r="C4">
        <v>0</v>
      </c>
      <c r="D4">
        <v>2</v>
      </c>
      <c r="E4">
        <v>0</v>
      </c>
      <c r="H4">
        <v>-3</v>
      </c>
      <c r="I4">
        <f t="shared" si="0"/>
        <v>0</v>
      </c>
      <c r="J4">
        <f t="shared" si="0"/>
        <v>0</v>
      </c>
      <c r="K4">
        <f t="shared" si="0"/>
        <v>2</v>
      </c>
      <c r="L4">
        <f>E4</f>
        <v>0</v>
      </c>
    </row>
    <row r="5" spans="1:12" x14ac:dyDescent="0.25">
      <c r="A5" t="s">
        <v>7</v>
      </c>
      <c r="B5">
        <v>107</v>
      </c>
      <c r="C5">
        <v>600</v>
      </c>
      <c r="D5">
        <v>577</v>
      </c>
      <c r="E5">
        <v>0</v>
      </c>
      <c r="H5">
        <v>-2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20</v>
      </c>
      <c r="B6">
        <v>13</v>
      </c>
      <c r="C6">
        <v>0</v>
      </c>
      <c r="D6">
        <v>6</v>
      </c>
      <c r="E6">
        <v>0</v>
      </c>
      <c r="H6">
        <v>-1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10</v>
      </c>
      <c r="B7">
        <v>364</v>
      </c>
      <c r="C7">
        <v>48</v>
      </c>
      <c r="D7">
        <v>34</v>
      </c>
      <c r="E7">
        <v>0</v>
      </c>
      <c r="H7">
        <v>0</v>
      </c>
      <c r="I7">
        <f t="shared" ref="I7:K12" si="1">B5</f>
        <v>107</v>
      </c>
      <c r="J7">
        <f t="shared" si="1"/>
        <v>600</v>
      </c>
      <c r="K7">
        <f t="shared" si="1"/>
        <v>577</v>
      </c>
      <c r="L7">
        <f t="shared" ref="L7:L12" si="2">E5</f>
        <v>0</v>
      </c>
    </row>
    <row r="8" spans="1:12" x14ac:dyDescent="0.25">
      <c r="A8" t="s">
        <v>14</v>
      </c>
      <c r="B8">
        <v>2848</v>
      </c>
      <c r="C8">
        <v>2270</v>
      </c>
      <c r="D8">
        <v>1979</v>
      </c>
      <c r="E8">
        <v>2</v>
      </c>
      <c r="H8">
        <v>1</v>
      </c>
      <c r="I8">
        <f t="shared" si="1"/>
        <v>13</v>
      </c>
      <c r="J8">
        <f t="shared" si="1"/>
        <v>0</v>
      </c>
      <c r="K8">
        <f t="shared" si="1"/>
        <v>6</v>
      </c>
      <c r="L8">
        <f t="shared" si="2"/>
        <v>0</v>
      </c>
    </row>
    <row r="9" spans="1:12" x14ac:dyDescent="0.25">
      <c r="A9" t="s">
        <v>15</v>
      </c>
      <c r="B9">
        <v>2597</v>
      </c>
      <c r="C9">
        <v>3264</v>
      </c>
      <c r="D9">
        <v>1983</v>
      </c>
      <c r="E9">
        <v>1</v>
      </c>
      <c r="H9">
        <v>2</v>
      </c>
      <c r="I9">
        <f t="shared" si="1"/>
        <v>364</v>
      </c>
      <c r="J9">
        <f t="shared" si="1"/>
        <v>48</v>
      </c>
      <c r="K9">
        <f t="shared" si="1"/>
        <v>34</v>
      </c>
      <c r="L9">
        <f t="shared" si="2"/>
        <v>0</v>
      </c>
    </row>
    <row r="10" spans="1:12" x14ac:dyDescent="0.25">
      <c r="A10" t="s">
        <v>18</v>
      </c>
      <c r="B10">
        <v>3222</v>
      </c>
      <c r="C10">
        <v>3913</v>
      </c>
      <c r="D10">
        <v>226</v>
      </c>
      <c r="E10">
        <v>1</v>
      </c>
      <c r="H10">
        <v>3</v>
      </c>
      <c r="I10">
        <f t="shared" si="1"/>
        <v>2848</v>
      </c>
      <c r="J10">
        <f t="shared" si="1"/>
        <v>2270</v>
      </c>
      <c r="K10">
        <f t="shared" si="1"/>
        <v>1979</v>
      </c>
      <c r="L10">
        <f t="shared" si="2"/>
        <v>2</v>
      </c>
    </row>
    <row r="11" spans="1:12" x14ac:dyDescent="0.25">
      <c r="A11" t="s">
        <v>19</v>
      </c>
      <c r="B11">
        <v>155</v>
      </c>
      <c r="C11">
        <v>270</v>
      </c>
      <c r="D11">
        <v>10</v>
      </c>
      <c r="E11">
        <v>0</v>
      </c>
      <c r="H11">
        <v>4</v>
      </c>
      <c r="I11">
        <f t="shared" si="1"/>
        <v>2597</v>
      </c>
      <c r="J11">
        <f t="shared" si="1"/>
        <v>3264</v>
      </c>
      <c r="K11">
        <f t="shared" si="1"/>
        <v>1983</v>
      </c>
      <c r="L11">
        <f t="shared" si="2"/>
        <v>1</v>
      </c>
    </row>
    <row r="12" spans="1:12" x14ac:dyDescent="0.25">
      <c r="A12" t="s">
        <v>8</v>
      </c>
      <c r="B12">
        <v>192</v>
      </c>
      <c r="C12">
        <v>32</v>
      </c>
      <c r="D12">
        <v>5</v>
      </c>
      <c r="E12">
        <v>0</v>
      </c>
      <c r="H12">
        <v>5</v>
      </c>
      <c r="I12">
        <f t="shared" si="1"/>
        <v>3222</v>
      </c>
      <c r="J12">
        <f t="shared" si="1"/>
        <v>3913</v>
      </c>
      <c r="K12">
        <f t="shared" si="1"/>
        <v>226</v>
      </c>
      <c r="L12">
        <f t="shared" si="2"/>
        <v>1</v>
      </c>
    </row>
    <row r="13" spans="1:12" x14ac:dyDescent="0.25">
      <c r="A13" t="s">
        <v>9</v>
      </c>
      <c r="B13">
        <v>1589</v>
      </c>
      <c r="C13">
        <v>1733</v>
      </c>
      <c r="D13">
        <v>3843</v>
      </c>
      <c r="E13">
        <v>0</v>
      </c>
      <c r="H13">
        <v>6</v>
      </c>
      <c r="I13">
        <f>B11+B12</f>
        <v>347</v>
      </c>
      <c r="J13">
        <f>C11+C12</f>
        <v>302</v>
      </c>
      <c r="K13">
        <f>D11+D12</f>
        <v>15</v>
      </c>
      <c r="L13">
        <f>E11+E12</f>
        <v>0</v>
      </c>
    </row>
    <row r="14" spans="1:12" x14ac:dyDescent="0.25">
      <c r="A14" t="s">
        <v>12</v>
      </c>
      <c r="B14">
        <v>1632</v>
      </c>
      <c r="C14">
        <v>1604</v>
      </c>
      <c r="D14">
        <v>471</v>
      </c>
      <c r="E14">
        <v>55</v>
      </c>
      <c r="H14">
        <v>7</v>
      </c>
      <c r="I14">
        <f t="shared" ref="I14:I21" si="3">B13</f>
        <v>1589</v>
      </c>
      <c r="J14">
        <f t="shared" ref="J14:J21" si="4">C13</f>
        <v>1733</v>
      </c>
      <c r="K14">
        <f t="shared" ref="K14:K21" si="5">D13</f>
        <v>3843</v>
      </c>
      <c r="L14">
        <f t="shared" ref="L14:L21" si="6">E13</f>
        <v>0</v>
      </c>
    </row>
    <row r="15" spans="1:12" x14ac:dyDescent="0.25">
      <c r="A15" t="s">
        <v>13</v>
      </c>
      <c r="B15">
        <v>1261</v>
      </c>
      <c r="C15">
        <v>987</v>
      </c>
      <c r="D15">
        <v>219</v>
      </c>
      <c r="E15">
        <v>44</v>
      </c>
      <c r="H15">
        <v>8</v>
      </c>
      <c r="I15">
        <f t="shared" si="3"/>
        <v>1632</v>
      </c>
      <c r="J15">
        <f t="shared" si="4"/>
        <v>1604</v>
      </c>
      <c r="K15">
        <f t="shared" si="5"/>
        <v>471</v>
      </c>
      <c r="L15">
        <f t="shared" si="6"/>
        <v>55</v>
      </c>
    </row>
    <row r="16" spans="1:12" x14ac:dyDescent="0.25">
      <c r="A16" t="s">
        <v>16</v>
      </c>
      <c r="B16">
        <v>31</v>
      </c>
      <c r="C16">
        <v>57</v>
      </c>
      <c r="D16">
        <v>49</v>
      </c>
      <c r="E16">
        <v>5</v>
      </c>
      <c r="H16">
        <v>9</v>
      </c>
      <c r="I16">
        <f t="shared" si="3"/>
        <v>1261</v>
      </c>
      <c r="J16">
        <f t="shared" si="4"/>
        <v>987</v>
      </c>
      <c r="K16">
        <f t="shared" si="5"/>
        <v>219</v>
      </c>
      <c r="L16">
        <f t="shared" si="6"/>
        <v>44</v>
      </c>
    </row>
    <row r="17" spans="1:12" x14ac:dyDescent="0.25">
      <c r="A17" t="s">
        <v>17</v>
      </c>
      <c r="B17">
        <v>7</v>
      </c>
      <c r="C17">
        <v>1</v>
      </c>
      <c r="D17">
        <v>18</v>
      </c>
      <c r="E17">
        <v>7</v>
      </c>
      <c r="H17">
        <v>10</v>
      </c>
      <c r="I17">
        <f t="shared" si="3"/>
        <v>31</v>
      </c>
      <c r="J17">
        <f t="shared" si="4"/>
        <v>57</v>
      </c>
      <c r="K17">
        <f t="shared" si="5"/>
        <v>49</v>
      </c>
      <c r="L17">
        <f t="shared" si="6"/>
        <v>5</v>
      </c>
    </row>
    <row r="18" spans="1:12" x14ac:dyDescent="0.25">
      <c r="A18" t="s">
        <v>6</v>
      </c>
      <c r="B18">
        <v>255</v>
      </c>
      <c r="C18">
        <v>398</v>
      </c>
      <c r="D18">
        <v>3208</v>
      </c>
      <c r="E18">
        <v>1485</v>
      </c>
      <c r="H18">
        <v>11</v>
      </c>
      <c r="I18">
        <f t="shared" si="3"/>
        <v>7</v>
      </c>
      <c r="J18">
        <f t="shared" si="4"/>
        <v>1</v>
      </c>
      <c r="K18">
        <f t="shared" si="5"/>
        <v>18</v>
      </c>
      <c r="L18">
        <f t="shared" si="6"/>
        <v>7</v>
      </c>
    </row>
    <row r="19" spans="1:12" x14ac:dyDescent="0.25">
      <c r="A19" t="s">
        <v>24</v>
      </c>
      <c r="B19">
        <v>0</v>
      </c>
      <c r="C19">
        <v>0</v>
      </c>
      <c r="D19">
        <v>4</v>
      </c>
      <c r="E19">
        <v>173</v>
      </c>
      <c r="H19">
        <v>12</v>
      </c>
      <c r="I19">
        <f t="shared" si="3"/>
        <v>255</v>
      </c>
      <c r="J19">
        <f t="shared" si="4"/>
        <v>398</v>
      </c>
      <c r="K19">
        <f t="shared" si="5"/>
        <v>3208</v>
      </c>
      <c r="L19">
        <f t="shared" si="6"/>
        <v>1485</v>
      </c>
    </row>
    <row r="20" spans="1:12" x14ac:dyDescent="0.25">
      <c r="A20" t="s">
        <v>11</v>
      </c>
      <c r="B20">
        <v>0</v>
      </c>
      <c r="C20">
        <v>2</v>
      </c>
      <c r="D20">
        <v>47</v>
      </c>
      <c r="E20">
        <v>47</v>
      </c>
      <c r="H20">
        <v>13</v>
      </c>
      <c r="I20">
        <f t="shared" si="3"/>
        <v>0</v>
      </c>
      <c r="J20">
        <f t="shared" si="4"/>
        <v>0</v>
      </c>
      <c r="K20">
        <f t="shared" si="5"/>
        <v>4</v>
      </c>
      <c r="L20">
        <f t="shared" si="6"/>
        <v>173</v>
      </c>
    </row>
    <row r="21" spans="1:12" x14ac:dyDescent="0.25">
      <c r="A21" t="s">
        <v>33</v>
      </c>
      <c r="B21">
        <v>0</v>
      </c>
      <c r="C21">
        <v>0</v>
      </c>
      <c r="D21">
        <v>0</v>
      </c>
      <c r="E21">
        <v>1</v>
      </c>
      <c r="H21">
        <v>14</v>
      </c>
      <c r="I21">
        <f t="shared" si="3"/>
        <v>0</v>
      </c>
      <c r="J21">
        <f t="shared" si="4"/>
        <v>2</v>
      </c>
      <c r="K21">
        <f t="shared" si="5"/>
        <v>47</v>
      </c>
      <c r="L21">
        <f t="shared" si="6"/>
        <v>47</v>
      </c>
    </row>
    <row r="22" spans="1:12" x14ac:dyDescent="0.25">
      <c r="A22" t="s">
        <v>22</v>
      </c>
      <c r="B22">
        <v>0</v>
      </c>
      <c r="C22">
        <v>2</v>
      </c>
      <c r="D22">
        <v>754</v>
      </c>
      <c r="E22">
        <v>1947</v>
      </c>
      <c r="H22">
        <v>15</v>
      </c>
      <c r="I22">
        <f>B21+B22</f>
        <v>0</v>
      </c>
      <c r="J22">
        <f>C21+C22</f>
        <v>2</v>
      </c>
      <c r="K22">
        <f>D21+D22</f>
        <v>754</v>
      </c>
      <c r="L22">
        <f>E21+E22</f>
        <v>1948</v>
      </c>
    </row>
    <row r="23" spans="1:12" x14ac:dyDescent="0.25">
      <c r="A23" t="s">
        <v>29</v>
      </c>
      <c r="B23">
        <v>0</v>
      </c>
      <c r="C23">
        <v>0</v>
      </c>
      <c r="D23">
        <v>736</v>
      </c>
      <c r="E23">
        <v>2152</v>
      </c>
      <c r="H23">
        <v>16</v>
      </c>
      <c r="I23">
        <f t="shared" ref="I23:L24" si="7">B23</f>
        <v>0</v>
      </c>
      <c r="J23">
        <f t="shared" si="7"/>
        <v>0</v>
      </c>
      <c r="K23">
        <f t="shared" si="7"/>
        <v>736</v>
      </c>
      <c r="L23">
        <f t="shared" si="7"/>
        <v>2152</v>
      </c>
    </row>
    <row r="24" spans="1:12" x14ac:dyDescent="0.25">
      <c r="A24" t="s">
        <v>23</v>
      </c>
      <c r="B24">
        <v>0</v>
      </c>
      <c r="C24">
        <v>1</v>
      </c>
      <c r="D24">
        <v>22</v>
      </c>
      <c r="E24">
        <v>140</v>
      </c>
      <c r="H24">
        <v>17</v>
      </c>
      <c r="I24">
        <f t="shared" si="7"/>
        <v>0</v>
      </c>
      <c r="J24">
        <f t="shared" si="7"/>
        <v>1</v>
      </c>
      <c r="K24">
        <f t="shared" si="7"/>
        <v>22</v>
      </c>
      <c r="L24">
        <f t="shared" si="7"/>
        <v>140</v>
      </c>
    </row>
    <row r="25" spans="1:12" x14ac:dyDescent="0.25">
      <c r="A25" t="s">
        <v>41</v>
      </c>
      <c r="B25">
        <v>0</v>
      </c>
      <c r="C25">
        <v>0</v>
      </c>
      <c r="D25">
        <v>0</v>
      </c>
      <c r="E25">
        <v>17</v>
      </c>
      <c r="H25">
        <v>18</v>
      </c>
      <c r="I25">
        <f>B25+B26</f>
        <v>0</v>
      </c>
      <c r="J25">
        <f>C25+C26</f>
        <v>0</v>
      </c>
      <c r="K25">
        <f>D25+D26</f>
        <v>0</v>
      </c>
      <c r="L25">
        <f>E25+E26</f>
        <v>50</v>
      </c>
    </row>
    <row r="26" spans="1:12" x14ac:dyDescent="0.25">
      <c r="A26" t="s">
        <v>32</v>
      </c>
      <c r="B26">
        <v>0</v>
      </c>
      <c r="C26">
        <v>0</v>
      </c>
      <c r="D26">
        <v>0</v>
      </c>
      <c r="E26">
        <v>33</v>
      </c>
      <c r="H26">
        <v>19</v>
      </c>
      <c r="I26">
        <f t="shared" ref="I26:K27" si="8">B27</f>
        <v>0</v>
      </c>
      <c r="J26">
        <f t="shared" si="8"/>
        <v>0</v>
      </c>
      <c r="K26">
        <f t="shared" si="8"/>
        <v>165</v>
      </c>
      <c r="L26">
        <f>E27</f>
        <v>3274</v>
      </c>
    </row>
    <row r="27" spans="1:12" x14ac:dyDescent="0.25">
      <c r="A27" t="s">
        <v>27</v>
      </c>
      <c r="B27">
        <v>0</v>
      </c>
      <c r="C27">
        <v>0</v>
      </c>
      <c r="D27">
        <v>165</v>
      </c>
      <c r="E27">
        <v>3274</v>
      </c>
      <c r="H27">
        <v>20</v>
      </c>
      <c r="I27">
        <f t="shared" si="8"/>
        <v>0</v>
      </c>
      <c r="J27">
        <f t="shared" si="8"/>
        <v>0</v>
      </c>
      <c r="K27">
        <f t="shared" si="8"/>
        <v>4</v>
      </c>
      <c r="L27">
        <f>E28</f>
        <v>842</v>
      </c>
    </row>
    <row r="28" spans="1:12" x14ac:dyDescent="0.25">
      <c r="A28" t="s">
        <v>28</v>
      </c>
      <c r="B28">
        <v>0</v>
      </c>
      <c r="C28">
        <v>0</v>
      </c>
      <c r="D28">
        <v>4</v>
      </c>
      <c r="E28">
        <v>842</v>
      </c>
      <c r="H28">
        <v>21</v>
      </c>
      <c r="I28">
        <f>B29+B30</f>
        <v>0</v>
      </c>
      <c r="J28">
        <f>C29+C30</f>
        <v>0</v>
      </c>
      <c r="K28">
        <f>D29+D30</f>
        <v>0</v>
      </c>
      <c r="L28">
        <f>E29+E30</f>
        <v>615</v>
      </c>
    </row>
    <row r="29" spans="1:12" x14ac:dyDescent="0.25">
      <c r="A29" t="s">
        <v>46</v>
      </c>
      <c r="B29">
        <v>0</v>
      </c>
      <c r="C29">
        <v>0</v>
      </c>
      <c r="D29">
        <v>0</v>
      </c>
      <c r="E29">
        <v>614</v>
      </c>
      <c r="H29">
        <v>22</v>
      </c>
      <c r="I29">
        <f>B31+B32</f>
        <v>0</v>
      </c>
      <c r="J29">
        <f>C31+C32</f>
        <v>0</v>
      </c>
      <c r="K29">
        <f>D31+D32</f>
        <v>0</v>
      </c>
      <c r="L29">
        <f>E31+E32</f>
        <v>71</v>
      </c>
    </row>
    <row r="30" spans="1:12" x14ac:dyDescent="0.25">
      <c r="A30" t="s">
        <v>38</v>
      </c>
      <c r="B30">
        <v>0</v>
      </c>
      <c r="C30">
        <v>0</v>
      </c>
      <c r="D30">
        <v>0</v>
      </c>
      <c r="E30">
        <v>1</v>
      </c>
      <c r="H30">
        <v>23</v>
      </c>
      <c r="I30">
        <v>0</v>
      </c>
      <c r="J30">
        <v>0</v>
      </c>
      <c r="K30">
        <v>0</v>
      </c>
      <c r="L30">
        <f>E33</f>
        <v>54</v>
      </c>
    </row>
    <row r="31" spans="1:12" x14ac:dyDescent="0.25">
      <c r="A31" t="s">
        <v>47</v>
      </c>
      <c r="B31">
        <v>0</v>
      </c>
      <c r="C31">
        <v>0</v>
      </c>
      <c r="D31">
        <v>0</v>
      </c>
      <c r="E31">
        <v>1</v>
      </c>
      <c r="H31">
        <v>24</v>
      </c>
      <c r="I31">
        <f>B34</f>
        <v>0</v>
      </c>
      <c r="J31">
        <f>C34</f>
        <v>0</v>
      </c>
      <c r="K31">
        <f>D34</f>
        <v>4</v>
      </c>
      <c r="L31">
        <f>E34</f>
        <v>2228</v>
      </c>
    </row>
    <row r="32" spans="1:12" x14ac:dyDescent="0.25">
      <c r="A32" t="s">
        <v>39</v>
      </c>
      <c r="B32">
        <v>0</v>
      </c>
      <c r="C32">
        <v>0</v>
      </c>
      <c r="D32">
        <v>0</v>
      </c>
      <c r="E32">
        <v>70</v>
      </c>
      <c r="H32">
        <v>25</v>
      </c>
      <c r="I32">
        <f t="shared" ref="I32:K32" si="9">B35</f>
        <v>0</v>
      </c>
      <c r="J32">
        <f t="shared" si="9"/>
        <v>0</v>
      </c>
      <c r="K32">
        <f t="shared" si="9"/>
        <v>0</v>
      </c>
      <c r="L32">
        <f>E35</f>
        <v>2</v>
      </c>
    </row>
    <row r="33" spans="1:12" x14ac:dyDescent="0.25">
      <c r="A33" t="s">
        <v>40</v>
      </c>
      <c r="B33">
        <v>0</v>
      </c>
      <c r="C33">
        <v>0</v>
      </c>
      <c r="D33">
        <v>0</v>
      </c>
      <c r="E33">
        <v>54</v>
      </c>
      <c r="H33">
        <v>26</v>
      </c>
      <c r="I33">
        <f t="shared" ref="I33:K33" si="10">B36</f>
        <v>0</v>
      </c>
      <c r="J33">
        <f t="shared" si="10"/>
        <v>0</v>
      </c>
      <c r="K33">
        <f t="shared" si="10"/>
        <v>0</v>
      </c>
      <c r="L33">
        <f t="shared" ref="L33:L40" si="11">E36</f>
        <v>22</v>
      </c>
    </row>
    <row r="34" spans="1:12" x14ac:dyDescent="0.25">
      <c r="A34" t="s">
        <v>21</v>
      </c>
      <c r="B34">
        <v>0</v>
      </c>
      <c r="C34">
        <v>0</v>
      </c>
      <c r="D34">
        <v>4</v>
      </c>
      <c r="E34">
        <v>2228</v>
      </c>
      <c r="H34">
        <v>27</v>
      </c>
      <c r="I34">
        <f t="shared" ref="I34:K34" si="12">B37</f>
        <v>0</v>
      </c>
      <c r="J34">
        <f t="shared" si="12"/>
        <v>0</v>
      </c>
      <c r="K34">
        <f t="shared" si="12"/>
        <v>0</v>
      </c>
      <c r="L34">
        <f t="shared" si="11"/>
        <v>556</v>
      </c>
    </row>
    <row r="35" spans="1:12" x14ac:dyDescent="0.25">
      <c r="A35" t="s">
        <v>44</v>
      </c>
      <c r="B35">
        <v>0</v>
      </c>
      <c r="C35">
        <v>0</v>
      </c>
      <c r="D35">
        <v>0</v>
      </c>
      <c r="E35">
        <v>2</v>
      </c>
      <c r="H35">
        <v>28</v>
      </c>
      <c r="I35">
        <f t="shared" ref="I35:K35" si="13">B38</f>
        <v>0</v>
      </c>
      <c r="J35">
        <f t="shared" si="13"/>
        <v>0</v>
      </c>
      <c r="K35">
        <f t="shared" si="13"/>
        <v>0</v>
      </c>
      <c r="L35">
        <f t="shared" si="11"/>
        <v>531</v>
      </c>
    </row>
    <row r="36" spans="1:12" x14ac:dyDescent="0.25">
      <c r="A36" t="s">
        <v>45</v>
      </c>
      <c r="B36">
        <v>0</v>
      </c>
      <c r="C36">
        <v>0</v>
      </c>
      <c r="D36">
        <v>0</v>
      </c>
      <c r="E36">
        <v>22</v>
      </c>
      <c r="H36">
        <v>29</v>
      </c>
      <c r="I36">
        <f t="shared" ref="I36:K36" si="14">B39</f>
        <v>0</v>
      </c>
      <c r="J36">
        <f t="shared" si="14"/>
        <v>0</v>
      </c>
      <c r="K36">
        <f t="shared" si="14"/>
        <v>0</v>
      </c>
      <c r="L36">
        <f t="shared" si="11"/>
        <v>7</v>
      </c>
    </row>
    <row r="37" spans="1:12" x14ac:dyDescent="0.25">
      <c r="A37" t="s">
        <v>36</v>
      </c>
      <c r="B37">
        <v>0</v>
      </c>
      <c r="C37">
        <v>0</v>
      </c>
      <c r="D37">
        <v>0</v>
      </c>
      <c r="E37">
        <v>556</v>
      </c>
      <c r="H37">
        <v>30</v>
      </c>
      <c r="I37">
        <f t="shared" ref="I37:K37" si="15">B40</f>
        <v>0</v>
      </c>
      <c r="J37">
        <f t="shared" si="15"/>
        <v>0</v>
      </c>
      <c r="K37">
        <f t="shared" si="15"/>
        <v>0</v>
      </c>
      <c r="L37">
        <f t="shared" si="11"/>
        <v>3</v>
      </c>
    </row>
    <row r="38" spans="1:12" x14ac:dyDescent="0.25">
      <c r="A38" t="s">
        <v>37</v>
      </c>
      <c r="B38">
        <v>0</v>
      </c>
      <c r="C38">
        <v>0</v>
      </c>
      <c r="D38">
        <v>0</v>
      </c>
      <c r="E38">
        <v>531</v>
      </c>
      <c r="H38">
        <v>31</v>
      </c>
      <c r="I38">
        <f t="shared" ref="I38:K38" si="16">B41</f>
        <v>0</v>
      </c>
      <c r="J38">
        <f t="shared" si="16"/>
        <v>0</v>
      </c>
      <c r="K38">
        <f t="shared" si="16"/>
        <v>0</v>
      </c>
      <c r="L38">
        <f t="shared" si="11"/>
        <v>86</v>
      </c>
    </row>
    <row r="39" spans="1:12" x14ac:dyDescent="0.25">
      <c r="A39" t="s">
        <v>31</v>
      </c>
      <c r="B39">
        <v>0</v>
      </c>
      <c r="C39">
        <v>0</v>
      </c>
      <c r="D39">
        <v>0</v>
      </c>
      <c r="E39">
        <v>7</v>
      </c>
      <c r="H39">
        <v>32</v>
      </c>
      <c r="I39">
        <f t="shared" ref="I39:K39" si="17">B42</f>
        <v>0</v>
      </c>
      <c r="J39">
        <f t="shared" si="17"/>
        <v>0</v>
      </c>
      <c r="K39">
        <f t="shared" si="17"/>
        <v>0</v>
      </c>
      <c r="L39">
        <f t="shared" si="11"/>
        <v>14</v>
      </c>
    </row>
    <row r="40" spans="1:12" x14ac:dyDescent="0.25">
      <c r="A40" t="s">
        <v>42</v>
      </c>
      <c r="B40">
        <v>0</v>
      </c>
      <c r="C40">
        <v>0</v>
      </c>
      <c r="D40">
        <v>0</v>
      </c>
      <c r="E40">
        <v>3</v>
      </c>
      <c r="H40">
        <v>33</v>
      </c>
      <c r="I40">
        <f t="shared" ref="I40:K40" si="18">B43</f>
        <v>0</v>
      </c>
      <c r="J40">
        <f t="shared" si="18"/>
        <v>0</v>
      </c>
      <c r="K40">
        <f t="shared" si="18"/>
        <v>0</v>
      </c>
      <c r="L40">
        <f t="shared" si="11"/>
        <v>1</v>
      </c>
    </row>
    <row r="41" spans="1:12" x14ac:dyDescent="0.25">
      <c r="A41" t="s">
        <v>43</v>
      </c>
      <c r="B41">
        <v>0</v>
      </c>
      <c r="C41">
        <v>0</v>
      </c>
      <c r="D41">
        <v>0</v>
      </c>
      <c r="E41">
        <v>86</v>
      </c>
    </row>
    <row r="42" spans="1:12" x14ac:dyDescent="0.25">
      <c r="A42" t="s">
        <v>34</v>
      </c>
      <c r="B42">
        <v>0</v>
      </c>
      <c r="C42">
        <v>0</v>
      </c>
      <c r="D42">
        <v>0</v>
      </c>
      <c r="E42">
        <v>14</v>
      </c>
      <c r="H42" s="1" t="s">
        <v>48</v>
      </c>
      <c r="I42" s="2">
        <f>SUM(I3:I40)</f>
        <v>14273</v>
      </c>
      <c r="J42" s="2">
        <f>SUM(J3:J40)</f>
        <v>15182</v>
      </c>
      <c r="K42" s="2">
        <f>SUM(K3:K40)</f>
        <v>14367</v>
      </c>
      <c r="L42" s="2">
        <f>SUM(L3:L40)</f>
        <v>14416</v>
      </c>
    </row>
    <row r="43" spans="1:12" x14ac:dyDescent="0.25">
      <c r="A43" t="s">
        <v>35</v>
      </c>
      <c r="B43">
        <v>0</v>
      </c>
      <c r="C43">
        <v>0</v>
      </c>
      <c r="D43">
        <v>0</v>
      </c>
      <c r="E43">
        <v>1</v>
      </c>
    </row>
    <row r="45" spans="1:12" x14ac:dyDescent="0.25">
      <c r="H45" s="20" t="s">
        <v>30</v>
      </c>
      <c r="I45" s="22" t="s">
        <v>49</v>
      </c>
      <c r="J45" s="23"/>
      <c r="K45" s="23"/>
      <c r="L45" s="24"/>
    </row>
    <row r="46" spans="1:12" x14ac:dyDescent="0.25">
      <c r="H46" s="21"/>
      <c r="I46" s="1" t="s">
        <v>2</v>
      </c>
      <c r="J46" s="1" t="s">
        <v>3</v>
      </c>
      <c r="K46" s="1" t="s">
        <v>4</v>
      </c>
      <c r="L46" s="1" t="s">
        <v>5</v>
      </c>
    </row>
    <row r="47" spans="1:12" x14ac:dyDescent="0.25">
      <c r="H47">
        <v>-4</v>
      </c>
      <c r="I47" cm="1">
        <f t="array" ref="I47:I84">I3:I40/I42</f>
        <v>0</v>
      </c>
      <c r="J47" cm="1">
        <f t="array" ref="J47:J84">J3:J40/J42</f>
        <v>0</v>
      </c>
      <c r="K47" cm="1">
        <f t="array" ref="K47:K84">K3:K40/K42</f>
        <v>6.9603953504559059E-5</v>
      </c>
      <c r="L47" cm="1">
        <f t="array" ref="L47:L84">L3:L40/L42</f>
        <v>0</v>
      </c>
    </row>
    <row r="48" spans="1:12" x14ac:dyDescent="0.25">
      <c r="H48">
        <v>-3</v>
      </c>
      <c r="I48">
        <v>0</v>
      </c>
      <c r="J48">
        <v>0</v>
      </c>
      <c r="K48">
        <v>1.3920790700911812E-4</v>
      </c>
      <c r="L48">
        <v>0</v>
      </c>
    </row>
    <row r="49" spans="8:12" x14ac:dyDescent="0.25">
      <c r="H49">
        <v>-2</v>
      </c>
      <c r="I49">
        <v>0</v>
      </c>
      <c r="J49">
        <v>0</v>
      </c>
      <c r="K49">
        <v>0</v>
      </c>
      <c r="L49">
        <v>0</v>
      </c>
    </row>
    <row r="50" spans="8:12" x14ac:dyDescent="0.25">
      <c r="H50">
        <v>-1</v>
      </c>
      <c r="I50">
        <v>0</v>
      </c>
      <c r="J50">
        <v>0</v>
      </c>
      <c r="K50">
        <v>0</v>
      </c>
      <c r="L50">
        <v>0</v>
      </c>
    </row>
    <row r="51" spans="8:12" x14ac:dyDescent="0.25">
      <c r="H51">
        <v>0</v>
      </c>
      <c r="I51">
        <v>7.4966720381139211E-3</v>
      </c>
      <c r="J51">
        <v>3.9520484784613355E-2</v>
      </c>
      <c r="K51">
        <v>4.0161481172130579E-2</v>
      </c>
      <c r="L51">
        <v>0</v>
      </c>
    </row>
    <row r="52" spans="8:12" x14ac:dyDescent="0.25">
      <c r="H52">
        <v>1</v>
      </c>
      <c r="I52">
        <v>9.1081062145309327E-4</v>
      </c>
      <c r="J52">
        <v>0</v>
      </c>
      <c r="K52">
        <v>4.1762372102735435E-4</v>
      </c>
      <c r="L52">
        <v>0</v>
      </c>
    </row>
    <row r="53" spans="8:12" x14ac:dyDescent="0.25">
      <c r="H53">
        <v>2</v>
      </c>
      <c r="I53">
        <v>2.550269740068661E-2</v>
      </c>
      <c r="J53">
        <v>3.1616387827690688E-3</v>
      </c>
      <c r="K53">
        <v>2.366534419155008E-3</v>
      </c>
      <c r="L53">
        <v>0</v>
      </c>
    </row>
    <row r="54" spans="8:12" x14ac:dyDescent="0.25">
      <c r="H54">
        <v>3</v>
      </c>
      <c r="I54">
        <v>0.19953758845372382</v>
      </c>
      <c r="J54">
        <v>0.14951916743512053</v>
      </c>
      <c r="K54">
        <v>0.13774622398552239</v>
      </c>
      <c r="L54">
        <v>1.3873473917869035E-4</v>
      </c>
    </row>
    <row r="55" spans="8:12" x14ac:dyDescent="0.25">
      <c r="H55">
        <v>4</v>
      </c>
      <c r="I55">
        <v>0.18195193722412947</v>
      </c>
      <c r="J55">
        <v>0.21499143722829667</v>
      </c>
      <c r="K55">
        <v>0.1380246397995406</v>
      </c>
      <c r="L55">
        <v>6.9367369589345173E-5</v>
      </c>
    </row>
    <row r="56" spans="8:12" x14ac:dyDescent="0.25">
      <c r="H56">
        <v>5</v>
      </c>
      <c r="I56">
        <v>0.22574090940937433</v>
      </c>
      <c r="J56">
        <v>0.25773942827032009</v>
      </c>
      <c r="K56">
        <v>1.5730493492030349E-2</v>
      </c>
      <c r="L56">
        <v>6.9367369589345173E-5</v>
      </c>
    </row>
    <row r="57" spans="8:12" x14ac:dyDescent="0.25">
      <c r="H57">
        <v>6</v>
      </c>
      <c r="I57">
        <v>2.431163735724795E-2</v>
      </c>
      <c r="J57">
        <v>1.9891977341588724E-2</v>
      </c>
      <c r="K57">
        <v>1.0440593025683859E-3</v>
      </c>
      <c r="L57">
        <v>0</v>
      </c>
    </row>
    <row r="58" spans="8:12" x14ac:dyDescent="0.25">
      <c r="H58">
        <v>7</v>
      </c>
      <c r="I58">
        <v>0.11132908288376656</v>
      </c>
      <c r="J58">
        <v>0.11414833355289158</v>
      </c>
      <c r="K58">
        <v>0.26748799331802048</v>
      </c>
      <c r="L58">
        <v>0</v>
      </c>
    </row>
    <row r="59" spans="8:12" x14ac:dyDescent="0.25">
      <c r="H59">
        <v>8</v>
      </c>
      <c r="I59">
        <v>0.1143417641701114</v>
      </c>
      <c r="J59">
        <v>0.10565142932419971</v>
      </c>
      <c r="K59">
        <v>3.2783462100647316E-2</v>
      </c>
      <c r="L59">
        <v>3.8152053274139843E-3</v>
      </c>
    </row>
    <row r="60" spans="8:12" x14ac:dyDescent="0.25">
      <c r="H60">
        <v>9</v>
      </c>
      <c r="I60">
        <v>8.8348630280950052E-2</v>
      </c>
      <c r="J60">
        <v>6.5011197470688981E-2</v>
      </c>
      <c r="K60">
        <v>1.5243265817498434E-2</v>
      </c>
      <c r="L60">
        <v>3.0521642619311877E-3</v>
      </c>
    </row>
    <row r="61" spans="8:12" x14ac:dyDescent="0.25">
      <c r="H61">
        <v>10</v>
      </c>
      <c r="I61">
        <v>2.1719330203881456E-3</v>
      </c>
      <c r="J61">
        <v>3.7544460545382691E-3</v>
      </c>
      <c r="K61">
        <v>3.4105937217233937E-3</v>
      </c>
      <c r="L61">
        <v>3.4683684794672585E-4</v>
      </c>
    </row>
    <row r="62" spans="8:12" x14ac:dyDescent="0.25">
      <c r="H62">
        <v>11</v>
      </c>
      <c r="I62">
        <v>4.9043648847474255E-4</v>
      </c>
      <c r="J62">
        <v>6.5867474641022257E-5</v>
      </c>
      <c r="K62">
        <v>1.2528711630820631E-3</v>
      </c>
      <c r="L62">
        <v>4.8557158712541623E-4</v>
      </c>
    </row>
    <row r="63" spans="8:12" x14ac:dyDescent="0.25">
      <c r="H63">
        <v>12</v>
      </c>
      <c r="I63">
        <v>1.7865900651579905E-2</v>
      </c>
      <c r="J63">
        <v>2.621525490712686E-2</v>
      </c>
      <c r="K63">
        <v>0.22328948284262545</v>
      </c>
      <c r="L63">
        <v>0.10301054384017758</v>
      </c>
    </row>
    <row r="64" spans="8:12" x14ac:dyDescent="0.25">
      <c r="H64">
        <v>13</v>
      </c>
      <c r="I64">
        <v>0</v>
      </c>
      <c r="J64">
        <v>0</v>
      </c>
      <c r="K64">
        <v>2.7841581401823624E-4</v>
      </c>
      <c r="L64">
        <v>1.2000554938956715E-2</v>
      </c>
    </row>
    <row r="65" spans="8:12" x14ac:dyDescent="0.25">
      <c r="H65">
        <v>14</v>
      </c>
      <c r="I65">
        <v>0</v>
      </c>
      <c r="J65">
        <v>1.3173494928204451E-4</v>
      </c>
      <c r="K65">
        <v>3.2713858147142756E-3</v>
      </c>
      <c r="L65">
        <v>3.260266370699223E-3</v>
      </c>
    </row>
    <row r="66" spans="8:12" x14ac:dyDescent="0.25">
      <c r="H66">
        <v>15</v>
      </c>
      <c r="I66">
        <v>0</v>
      </c>
      <c r="J66">
        <v>1.3173494928204451E-4</v>
      </c>
      <c r="K66">
        <v>5.2481380942437532E-2</v>
      </c>
      <c r="L66">
        <v>0.1351276359600444</v>
      </c>
    </row>
    <row r="67" spans="8:12" x14ac:dyDescent="0.25">
      <c r="H67">
        <v>16</v>
      </c>
      <c r="I67">
        <v>0</v>
      </c>
      <c r="J67">
        <v>0</v>
      </c>
      <c r="K67">
        <v>5.1228509779355468E-2</v>
      </c>
      <c r="L67">
        <v>0.14927857935627081</v>
      </c>
    </row>
    <row r="68" spans="8:12" x14ac:dyDescent="0.25">
      <c r="H68">
        <v>17</v>
      </c>
      <c r="I68">
        <v>0</v>
      </c>
      <c r="J68">
        <v>6.5867474641022257E-5</v>
      </c>
      <c r="K68">
        <v>1.5312869771002993E-3</v>
      </c>
      <c r="L68">
        <v>9.7114317425083235E-3</v>
      </c>
    </row>
    <row r="69" spans="8:12" x14ac:dyDescent="0.25">
      <c r="H69">
        <v>18</v>
      </c>
      <c r="I69">
        <v>0</v>
      </c>
      <c r="J69">
        <v>0</v>
      </c>
      <c r="K69">
        <v>0</v>
      </c>
      <c r="L69">
        <v>3.4683684794672587E-3</v>
      </c>
    </row>
    <row r="70" spans="8:12" x14ac:dyDescent="0.25">
      <c r="H70">
        <v>19</v>
      </c>
      <c r="I70">
        <v>0</v>
      </c>
      <c r="J70">
        <v>0</v>
      </c>
      <c r="K70">
        <v>1.1484652328252245E-2</v>
      </c>
      <c r="L70">
        <v>0.22710876803551611</v>
      </c>
    </row>
    <row r="71" spans="8:12" x14ac:dyDescent="0.25">
      <c r="H71">
        <v>20</v>
      </c>
      <c r="I71">
        <v>0</v>
      </c>
      <c r="J71">
        <v>0</v>
      </c>
      <c r="K71">
        <v>2.7841581401823624E-4</v>
      </c>
      <c r="L71">
        <v>5.8407325194228636E-2</v>
      </c>
    </row>
    <row r="72" spans="8:12" x14ac:dyDescent="0.25">
      <c r="H72">
        <v>21</v>
      </c>
      <c r="I72">
        <v>0</v>
      </c>
      <c r="J72">
        <v>0</v>
      </c>
      <c r="K72">
        <v>0</v>
      </c>
      <c r="L72">
        <v>4.2660932297447281E-2</v>
      </c>
    </row>
    <row r="73" spans="8:12" x14ac:dyDescent="0.25">
      <c r="H73">
        <v>22</v>
      </c>
      <c r="I73">
        <v>0</v>
      </c>
      <c r="J73">
        <v>0</v>
      </c>
      <c r="K73">
        <v>0</v>
      </c>
      <c r="L73">
        <v>4.9250832408435068E-3</v>
      </c>
    </row>
    <row r="74" spans="8:12" x14ac:dyDescent="0.25">
      <c r="H74">
        <v>23</v>
      </c>
      <c r="I74">
        <v>0</v>
      </c>
      <c r="J74">
        <v>0</v>
      </c>
      <c r="K74">
        <v>0</v>
      </c>
      <c r="L74">
        <v>3.7458379578246392E-3</v>
      </c>
    </row>
    <row r="75" spans="8:12" x14ac:dyDescent="0.25">
      <c r="H75">
        <v>24</v>
      </c>
      <c r="I75">
        <v>0</v>
      </c>
      <c r="J75">
        <v>0</v>
      </c>
      <c r="K75">
        <v>2.7841581401823624E-4</v>
      </c>
      <c r="L75">
        <v>0.15455049944506105</v>
      </c>
    </row>
    <row r="76" spans="8:12" x14ac:dyDescent="0.25">
      <c r="H76">
        <v>25</v>
      </c>
      <c r="I76">
        <v>0</v>
      </c>
      <c r="J76">
        <v>0</v>
      </c>
      <c r="K76">
        <v>0</v>
      </c>
      <c r="L76">
        <v>1.3873473917869035E-4</v>
      </c>
    </row>
    <row r="77" spans="8:12" x14ac:dyDescent="0.25">
      <c r="H77">
        <v>26</v>
      </c>
      <c r="I77">
        <v>0</v>
      </c>
      <c r="J77">
        <v>0</v>
      </c>
      <c r="K77">
        <v>0</v>
      </c>
      <c r="L77">
        <v>1.5260821309655938E-3</v>
      </c>
    </row>
    <row r="78" spans="8:12" x14ac:dyDescent="0.25">
      <c r="H78">
        <v>27</v>
      </c>
      <c r="I78">
        <v>0</v>
      </c>
      <c r="J78">
        <v>0</v>
      </c>
      <c r="K78">
        <v>0</v>
      </c>
      <c r="L78">
        <v>3.8568257491675917E-2</v>
      </c>
    </row>
    <row r="79" spans="8:12" x14ac:dyDescent="0.25">
      <c r="H79">
        <v>28</v>
      </c>
      <c r="I79">
        <v>0</v>
      </c>
      <c r="J79">
        <v>0</v>
      </c>
      <c r="K79">
        <v>0</v>
      </c>
      <c r="L79">
        <v>3.6834073251942288E-2</v>
      </c>
    </row>
    <row r="80" spans="8:12" x14ac:dyDescent="0.25">
      <c r="H80">
        <v>29</v>
      </c>
      <c r="I80">
        <v>0</v>
      </c>
      <c r="J80">
        <v>0</v>
      </c>
      <c r="K80">
        <v>0</v>
      </c>
      <c r="L80">
        <v>4.8557158712541623E-4</v>
      </c>
    </row>
    <row r="81" spans="8:12" x14ac:dyDescent="0.25">
      <c r="H81">
        <v>30</v>
      </c>
      <c r="I81">
        <v>0</v>
      </c>
      <c r="J81">
        <v>0</v>
      </c>
      <c r="K81">
        <v>0</v>
      </c>
      <c r="L81">
        <v>2.0810210876803551E-4</v>
      </c>
    </row>
    <row r="82" spans="8:12" x14ac:dyDescent="0.25">
      <c r="H82">
        <v>31</v>
      </c>
      <c r="I82">
        <v>0</v>
      </c>
      <c r="J82">
        <v>0</v>
      </c>
      <c r="K82">
        <v>0</v>
      </c>
      <c r="L82">
        <v>5.9655937846836852E-3</v>
      </c>
    </row>
    <row r="83" spans="8:12" x14ac:dyDescent="0.25">
      <c r="H83">
        <v>32</v>
      </c>
      <c r="I83">
        <v>0</v>
      </c>
      <c r="J83">
        <v>0</v>
      </c>
      <c r="K83">
        <v>0</v>
      </c>
      <c r="L83">
        <v>9.7114317425083245E-4</v>
      </c>
    </row>
    <row r="84" spans="8:12" x14ac:dyDescent="0.25">
      <c r="H84">
        <v>33</v>
      </c>
      <c r="I84">
        <v>0</v>
      </c>
      <c r="J84">
        <v>0</v>
      </c>
      <c r="K84">
        <v>0</v>
      </c>
      <c r="L84">
        <v>6.9367369589345173E-5</v>
      </c>
    </row>
  </sheetData>
  <mergeCells count="6">
    <mergeCell ref="A1:A2"/>
    <mergeCell ref="B1:E1"/>
    <mergeCell ref="I1:L1"/>
    <mergeCell ref="H1:H2"/>
    <mergeCell ref="H45:H46"/>
    <mergeCell ref="I45:L45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2DDE-93C8-49C6-B04E-A33B23EC83B7}">
  <dimension ref="A1:L60"/>
  <sheetViews>
    <sheetView workbookViewId="0">
      <selection activeCell="G33" sqref="G33"/>
    </sheetView>
  </sheetViews>
  <sheetFormatPr baseColWidth="10" defaultColWidth="11.42578125" defaultRowHeight="15" x14ac:dyDescent="0.25"/>
  <cols>
    <col min="1" max="1" width="20" customWidth="1"/>
    <col min="2" max="2" width="10.140625" customWidth="1"/>
    <col min="3" max="3" width="8.85546875" customWidth="1"/>
    <col min="4" max="4" width="8.42578125" customWidth="1"/>
    <col min="5" max="5" width="8.28515625" customWidth="1"/>
    <col min="7" max="7" width="11.42578125" customWidth="1"/>
    <col min="8" max="8" width="16.28515625" customWidth="1"/>
  </cols>
  <sheetData>
    <row r="1" spans="1:12" x14ac:dyDescent="0.25">
      <c r="A1" s="20" t="s">
        <v>56</v>
      </c>
      <c r="B1" s="22" t="s">
        <v>57</v>
      </c>
      <c r="C1" s="23"/>
      <c r="D1" s="23"/>
      <c r="E1" s="24"/>
      <c r="H1" s="25" t="s">
        <v>82</v>
      </c>
      <c r="I1" s="22" t="s">
        <v>83</v>
      </c>
      <c r="J1" s="23"/>
      <c r="K1" s="23"/>
      <c r="L1" s="24"/>
    </row>
    <row r="2" spans="1:12" x14ac:dyDescent="0.25">
      <c r="A2" s="21"/>
      <c r="B2" s="1" t="s">
        <v>52</v>
      </c>
      <c r="C2" s="1" t="s">
        <v>53</v>
      </c>
      <c r="D2" s="1" t="s">
        <v>54</v>
      </c>
      <c r="E2" s="1" t="s">
        <v>55</v>
      </c>
      <c r="H2" s="26"/>
      <c r="I2" s="1" t="s">
        <v>52</v>
      </c>
      <c r="J2" s="1" t="s">
        <v>53</v>
      </c>
      <c r="K2" s="1" t="s">
        <v>54</v>
      </c>
      <c r="L2" s="1" t="s">
        <v>55</v>
      </c>
    </row>
    <row r="3" spans="1:12" x14ac:dyDescent="0.25">
      <c r="A3" t="s">
        <v>58</v>
      </c>
      <c r="B3">
        <v>34</v>
      </c>
      <c r="C3">
        <v>1</v>
      </c>
      <c r="D3">
        <v>1</v>
      </c>
      <c r="E3">
        <v>107</v>
      </c>
      <c r="H3">
        <v>-12</v>
      </c>
      <c r="I3">
        <v>34</v>
      </c>
      <c r="J3">
        <v>1</v>
      </c>
      <c r="K3">
        <v>1</v>
      </c>
      <c r="L3">
        <v>107</v>
      </c>
    </row>
    <row r="4" spans="1:12" x14ac:dyDescent="0.25">
      <c r="A4" t="s">
        <v>59</v>
      </c>
      <c r="B4">
        <v>6</v>
      </c>
      <c r="C4">
        <v>0</v>
      </c>
      <c r="D4">
        <v>0</v>
      </c>
      <c r="E4">
        <v>3</v>
      </c>
      <c r="H4">
        <v>-11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60</v>
      </c>
      <c r="B5">
        <v>22</v>
      </c>
      <c r="C5">
        <v>4</v>
      </c>
      <c r="D5">
        <v>28</v>
      </c>
      <c r="E5">
        <v>61</v>
      </c>
      <c r="H5">
        <v>-10</v>
      </c>
      <c r="I5">
        <v>6</v>
      </c>
      <c r="J5">
        <v>0</v>
      </c>
      <c r="K5">
        <v>0</v>
      </c>
      <c r="L5">
        <v>3</v>
      </c>
    </row>
    <row r="6" spans="1:12" x14ac:dyDescent="0.25">
      <c r="A6" t="s">
        <v>61</v>
      </c>
      <c r="B6">
        <v>24</v>
      </c>
      <c r="C6">
        <v>11</v>
      </c>
      <c r="D6">
        <v>40</v>
      </c>
      <c r="E6">
        <v>17</v>
      </c>
      <c r="H6">
        <v>-9</v>
      </c>
      <c r="I6">
        <v>22</v>
      </c>
      <c r="J6">
        <v>4</v>
      </c>
      <c r="K6">
        <v>28</v>
      </c>
      <c r="L6">
        <v>61</v>
      </c>
    </row>
    <row r="7" spans="1:12" x14ac:dyDescent="0.25">
      <c r="A7" t="s">
        <v>62</v>
      </c>
      <c r="B7">
        <v>188</v>
      </c>
      <c r="C7">
        <v>43</v>
      </c>
      <c r="D7">
        <v>98</v>
      </c>
      <c r="E7">
        <v>718</v>
      </c>
      <c r="H7">
        <v>-8</v>
      </c>
      <c r="I7">
        <v>24</v>
      </c>
      <c r="J7">
        <v>11</v>
      </c>
      <c r="K7">
        <v>40</v>
      </c>
      <c r="L7">
        <v>17</v>
      </c>
    </row>
    <row r="8" spans="1:12" x14ac:dyDescent="0.25">
      <c r="A8" t="s">
        <v>81</v>
      </c>
      <c r="B8">
        <v>0</v>
      </c>
      <c r="C8">
        <v>5</v>
      </c>
      <c r="D8">
        <v>0</v>
      </c>
      <c r="E8">
        <v>0</v>
      </c>
      <c r="H8">
        <v>-7</v>
      </c>
      <c r="I8">
        <v>188</v>
      </c>
      <c r="J8">
        <v>43</v>
      </c>
      <c r="K8">
        <v>98</v>
      </c>
      <c r="L8">
        <v>718</v>
      </c>
    </row>
    <row r="9" spans="1:12" x14ac:dyDescent="0.25">
      <c r="A9" t="s">
        <v>79</v>
      </c>
      <c r="B9">
        <v>0</v>
      </c>
      <c r="C9">
        <v>0</v>
      </c>
      <c r="D9">
        <v>2</v>
      </c>
      <c r="E9">
        <v>2</v>
      </c>
      <c r="H9">
        <v>-6</v>
      </c>
      <c r="I9">
        <f>B8+B9</f>
        <v>0</v>
      </c>
      <c r="J9">
        <f>C8+C9</f>
        <v>5</v>
      </c>
      <c r="K9">
        <f>D8+D9</f>
        <v>2</v>
      </c>
      <c r="L9">
        <f>E8+E9</f>
        <v>2</v>
      </c>
    </row>
    <row r="10" spans="1:12" x14ac:dyDescent="0.25">
      <c r="A10" t="s">
        <v>63</v>
      </c>
      <c r="B10">
        <v>508</v>
      </c>
      <c r="C10">
        <v>465</v>
      </c>
      <c r="D10">
        <v>498</v>
      </c>
      <c r="E10">
        <v>1757</v>
      </c>
      <c r="H10">
        <v>-5</v>
      </c>
      <c r="I10">
        <v>508</v>
      </c>
      <c r="J10">
        <v>465</v>
      </c>
      <c r="K10">
        <v>498</v>
      </c>
      <c r="L10">
        <v>1757</v>
      </c>
    </row>
    <row r="11" spans="1:12" x14ac:dyDescent="0.25">
      <c r="A11" t="s">
        <v>64</v>
      </c>
      <c r="B11">
        <v>261</v>
      </c>
      <c r="C11">
        <v>319</v>
      </c>
      <c r="D11">
        <v>287</v>
      </c>
      <c r="E11">
        <v>440</v>
      </c>
      <c r="H11">
        <v>-4</v>
      </c>
      <c r="I11">
        <v>261</v>
      </c>
      <c r="J11">
        <v>319</v>
      </c>
      <c r="K11">
        <v>287</v>
      </c>
      <c r="L11">
        <v>440</v>
      </c>
    </row>
    <row r="12" spans="1:12" x14ac:dyDescent="0.25">
      <c r="A12" t="s">
        <v>65</v>
      </c>
      <c r="B12">
        <v>575</v>
      </c>
      <c r="C12">
        <v>681</v>
      </c>
      <c r="D12">
        <v>692</v>
      </c>
      <c r="E12">
        <v>549</v>
      </c>
      <c r="H12">
        <v>-3</v>
      </c>
      <c r="I12">
        <v>575</v>
      </c>
      <c r="J12">
        <v>681</v>
      </c>
      <c r="K12">
        <v>692</v>
      </c>
      <c r="L12">
        <v>549</v>
      </c>
    </row>
    <row r="13" spans="1:12" x14ac:dyDescent="0.25">
      <c r="A13" t="s">
        <v>66</v>
      </c>
      <c r="B13">
        <v>2589</v>
      </c>
      <c r="C13">
        <v>1794</v>
      </c>
      <c r="D13">
        <v>2221</v>
      </c>
      <c r="E13">
        <v>1930</v>
      </c>
      <c r="H13">
        <v>-2</v>
      </c>
      <c r="I13">
        <v>2589</v>
      </c>
      <c r="J13">
        <v>1794</v>
      </c>
      <c r="K13">
        <v>2221</v>
      </c>
      <c r="L13">
        <v>1930</v>
      </c>
    </row>
    <row r="14" spans="1:12" x14ac:dyDescent="0.25">
      <c r="A14" t="s">
        <v>67</v>
      </c>
      <c r="B14">
        <v>1126</v>
      </c>
      <c r="C14">
        <v>1471</v>
      </c>
      <c r="D14">
        <v>1233</v>
      </c>
      <c r="E14">
        <v>856</v>
      </c>
      <c r="H14">
        <v>-1</v>
      </c>
      <c r="I14">
        <v>1126</v>
      </c>
      <c r="J14">
        <v>1471</v>
      </c>
      <c r="K14">
        <v>1233</v>
      </c>
      <c r="L14">
        <v>856</v>
      </c>
    </row>
    <row r="15" spans="1:12" x14ac:dyDescent="0.25">
      <c r="A15" t="s">
        <v>68</v>
      </c>
      <c r="B15">
        <v>2213</v>
      </c>
      <c r="C15">
        <v>4013</v>
      </c>
      <c r="D15">
        <v>3476</v>
      </c>
      <c r="E15">
        <v>950</v>
      </c>
      <c r="H15">
        <v>0</v>
      </c>
      <c r="I15">
        <v>2213</v>
      </c>
      <c r="J15">
        <v>4013</v>
      </c>
      <c r="K15">
        <v>3476</v>
      </c>
      <c r="L15">
        <v>950</v>
      </c>
    </row>
    <row r="16" spans="1:12" x14ac:dyDescent="0.25">
      <c r="A16" t="s">
        <v>69</v>
      </c>
      <c r="B16">
        <v>1463</v>
      </c>
      <c r="C16">
        <v>1551</v>
      </c>
      <c r="D16">
        <v>1050</v>
      </c>
      <c r="E16">
        <v>487</v>
      </c>
      <c r="H16">
        <v>1</v>
      </c>
      <c r="I16">
        <v>1463</v>
      </c>
      <c r="J16">
        <v>1551</v>
      </c>
      <c r="K16">
        <v>1050</v>
      </c>
      <c r="L16">
        <v>487</v>
      </c>
    </row>
    <row r="17" spans="1:12" x14ac:dyDescent="0.25">
      <c r="A17" t="s">
        <v>70</v>
      </c>
      <c r="B17">
        <v>3345</v>
      </c>
      <c r="C17">
        <v>1811</v>
      </c>
      <c r="D17">
        <v>1887</v>
      </c>
      <c r="E17">
        <v>1471</v>
      </c>
      <c r="H17">
        <v>2</v>
      </c>
      <c r="I17">
        <v>3345</v>
      </c>
      <c r="J17">
        <v>1811</v>
      </c>
      <c r="K17">
        <v>1887</v>
      </c>
      <c r="L17">
        <v>1471</v>
      </c>
    </row>
    <row r="18" spans="1:12" x14ac:dyDescent="0.25">
      <c r="A18" t="s">
        <v>71</v>
      </c>
      <c r="B18">
        <v>724</v>
      </c>
      <c r="C18">
        <v>976</v>
      </c>
      <c r="D18">
        <v>1272</v>
      </c>
      <c r="E18">
        <v>1172</v>
      </c>
      <c r="H18">
        <v>3</v>
      </c>
      <c r="I18">
        <v>724</v>
      </c>
      <c r="J18">
        <v>976</v>
      </c>
      <c r="K18">
        <v>1272</v>
      </c>
      <c r="L18">
        <v>1172</v>
      </c>
    </row>
    <row r="19" spans="1:12" x14ac:dyDescent="0.25">
      <c r="A19" t="s">
        <v>72</v>
      </c>
      <c r="B19">
        <v>378</v>
      </c>
      <c r="C19">
        <v>509</v>
      </c>
      <c r="D19">
        <v>484</v>
      </c>
      <c r="E19">
        <v>609</v>
      </c>
      <c r="H19">
        <v>4</v>
      </c>
      <c r="I19">
        <v>378</v>
      </c>
      <c r="J19">
        <v>509</v>
      </c>
      <c r="K19">
        <v>484</v>
      </c>
      <c r="L19">
        <v>609</v>
      </c>
    </row>
    <row r="20" spans="1:12" x14ac:dyDescent="0.25">
      <c r="A20" t="s">
        <v>73</v>
      </c>
      <c r="B20">
        <v>231</v>
      </c>
      <c r="C20">
        <v>209</v>
      </c>
      <c r="D20">
        <v>227</v>
      </c>
      <c r="E20">
        <v>1370</v>
      </c>
      <c r="H20">
        <v>5</v>
      </c>
      <c r="I20">
        <v>231</v>
      </c>
      <c r="J20">
        <v>209</v>
      </c>
      <c r="K20">
        <v>227</v>
      </c>
      <c r="L20">
        <v>1370</v>
      </c>
    </row>
    <row r="21" spans="1:12" x14ac:dyDescent="0.25">
      <c r="A21" t="s">
        <v>80</v>
      </c>
      <c r="B21">
        <v>0</v>
      </c>
      <c r="C21">
        <v>1</v>
      </c>
      <c r="D21">
        <v>6</v>
      </c>
      <c r="E21">
        <v>0</v>
      </c>
      <c r="H21">
        <v>6</v>
      </c>
      <c r="I21">
        <f>B21+B22</f>
        <v>2</v>
      </c>
      <c r="J21">
        <f>C21+C22</f>
        <v>1</v>
      </c>
      <c r="K21">
        <f>D21+D22</f>
        <v>6</v>
      </c>
      <c r="L21">
        <f>E21+E22</f>
        <v>8</v>
      </c>
    </row>
    <row r="22" spans="1:12" x14ac:dyDescent="0.25">
      <c r="A22" t="s">
        <v>74</v>
      </c>
      <c r="B22">
        <v>2</v>
      </c>
      <c r="C22">
        <v>0</v>
      </c>
      <c r="D22">
        <v>0</v>
      </c>
      <c r="E22">
        <v>8</v>
      </c>
      <c r="H22">
        <v>7</v>
      </c>
      <c r="I22">
        <v>142</v>
      </c>
      <c r="J22">
        <v>23</v>
      </c>
      <c r="K22">
        <v>150</v>
      </c>
      <c r="L22">
        <v>1083</v>
      </c>
    </row>
    <row r="23" spans="1:12" x14ac:dyDescent="0.25">
      <c r="A23" t="s">
        <v>75</v>
      </c>
      <c r="B23">
        <v>142</v>
      </c>
      <c r="C23">
        <v>23</v>
      </c>
      <c r="D23">
        <v>150</v>
      </c>
      <c r="E23">
        <v>1083</v>
      </c>
      <c r="H23">
        <v>8</v>
      </c>
      <c r="I23">
        <v>6</v>
      </c>
      <c r="J23">
        <v>1</v>
      </c>
      <c r="K23">
        <v>8</v>
      </c>
      <c r="L23">
        <v>79</v>
      </c>
    </row>
    <row r="24" spans="1:12" x14ac:dyDescent="0.25">
      <c r="A24" t="s">
        <v>76</v>
      </c>
      <c r="B24">
        <v>6</v>
      </c>
      <c r="C24">
        <v>1</v>
      </c>
      <c r="D24">
        <v>8</v>
      </c>
      <c r="E24">
        <v>79</v>
      </c>
      <c r="H24">
        <v>9</v>
      </c>
      <c r="I24">
        <v>4</v>
      </c>
      <c r="J24">
        <v>4</v>
      </c>
      <c r="K24">
        <v>7</v>
      </c>
      <c r="L24">
        <v>23</v>
      </c>
    </row>
    <row r="25" spans="1:12" x14ac:dyDescent="0.25">
      <c r="A25" t="s">
        <v>77</v>
      </c>
      <c r="B25">
        <v>4</v>
      </c>
      <c r="C25">
        <v>4</v>
      </c>
      <c r="D25">
        <v>7</v>
      </c>
      <c r="E25">
        <v>23</v>
      </c>
      <c r="H25">
        <v>10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78</v>
      </c>
      <c r="B26">
        <v>4</v>
      </c>
      <c r="C26">
        <v>0</v>
      </c>
      <c r="D26">
        <v>0</v>
      </c>
      <c r="E26">
        <v>37</v>
      </c>
      <c r="H26">
        <v>11</v>
      </c>
      <c r="I26">
        <v>0</v>
      </c>
      <c r="J26">
        <v>0</v>
      </c>
      <c r="K26">
        <v>0</v>
      </c>
      <c r="L26">
        <v>0</v>
      </c>
    </row>
    <row r="27" spans="1:12" x14ac:dyDescent="0.25">
      <c r="H27">
        <v>12</v>
      </c>
      <c r="I27">
        <v>4</v>
      </c>
      <c r="J27">
        <v>0</v>
      </c>
      <c r="K27">
        <v>0</v>
      </c>
      <c r="L27">
        <v>37</v>
      </c>
    </row>
    <row r="29" spans="1:12" x14ac:dyDescent="0.25">
      <c r="H29" s="1" t="s">
        <v>48</v>
      </c>
      <c r="I29" s="2">
        <f>SUM(I3:I27)</f>
        <v>13845</v>
      </c>
      <c r="J29" s="2">
        <f>SUM(J3:J27)</f>
        <v>13892</v>
      </c>
      <c r="K29" s="2">
        <f>SUM(K3:K27)</f>
        <v>13667</v>
      </c>
      <c r="L29" s="2">
        <f>SUM(L3:L27)</f>
        <v>13729</v>
      </c>
    </row>
    <row r="34" spans="8:12" x14ac:dyDescent="0.25">
      <c r="H34" s="25" t="s">
        <v>82</v>
      </c>
      <c r="I34" s="22" t="s">
        <v>84</v>
      </c>
      <c r="J34" s="23"/>
      <c r="K34" s="23"/>
      <c r="L34" s="24"/>
    </row>
    <row r="35" spans="8:12" x14ac:dyDescent="0.25">
      <c r="H35" s="26"/>
      <c r="I35" s="1" t="s">
        <v>52</v>
      </c>
      <c r="J35" s="1" t="s">
        <v>53</v>
      </c>
      <c r="K35" s="1" t="s">
        <v>54</v>
      </c>
      <c r="L35" s="1" t="s">
        <v>55</v>
      </c>
    </row>
    <row r="36" spans="8:12" x14ac:dyDescent="0.25">
      <c r="H36">
        <v>-12</v>
      </c>
      <c r="I36" cm="1">
        <f t="array" ref="I36:I60">I3:I27/I29</f>
        <v>2.4557602022390753E-3</v>
      </c>
      <c r="J36" cm="1">
        <f t="array" ref="J36:J60">J3:J27/J29</f>
        <v>7.1983875611862942E-5</v>
      </c>
      <c r="K36" cm="1">
        <f t="array" ref="K36:K60">K3:K27/K29</f>
        <v>7.3168947098851251E-5</v>
      </c>
      <c r="L36" cm="1">
        <f t="array" ref="L36:L60">L3:L27/L29</f>
        <v>7.7937213198339284E-3</v>
      </c>
    </row>
    <row r="37" spans="8:12" x14ac:dyDescent="0.25">
      <c r="H37">
        <v>-11</v>
      </c>
      <c r="I37">
        <v>0</v>
      </c>
      <c r="J37">
        <v>0</v>
      </c>
      <c r="K37">
        <v>0</v>
      </c>
      <c r="L37">
        <v>0</v>
      </c>
    </row>
    <row r="38" spans="8:12" x14ac:dyDescent="0.25">
      <c r="H38">
        <v>-10</v>
      </c>
      <c r="I38">
        <v>4.3336944745395449E-4</v>
      </c>
      <c r="J38">
        <v>0</v>
      </c>
      <c r="K38">
        <v>0</v>
      </c>
      <c r="L38">
        <v>2.1851555102338116E-4</v>
      </c>
    </row>
    <row r="39" spans="8:12" x14ac:dyDescent="0.25">
      <c r="H39">
        <v>-9</v>
      </c>
      <c r="I39">
        <v>1.5890213073311665E-3</v>
      </c>
      <c r="J39">
        <v>2.8793550244745177E-4</v>
      </c>
      <c r="K39">
        <v>2.048730518767835E-3</v>
      </c>
      <c r="L39">
        <v>4.443149537475417E-3</v>
      </c>
    </row>
    <row r="40" spans="8:12" x14ac:dyDescent="0.25">
      <c r="H40">
        <v>-8</v>
      </c>
      <c r="I40">
        <v>1.733477789815818E-3</v>
      </c>
      <c r="J40">
        <v>7.9182263173049232E-4</v>
      </c>
      <c r="K40">
        <v>2.92675788395405E-3</v>
      </c>
      <c r="L40">
        <v>1.2382547891324933E-3</v>
      </c>
    </row>
    <row r="41" spans="8:12" x14ac:dyDescent="0.25">
      <c r="H41">
        <v>-7</v>
      </c>
      <c r="I41">
        <v>1.3578909353557241E-2</v>
      </c>
      <c r="J41">
        <v>3.0953066513101065E-3</v>
      </c>
      <c r="K41">
        <v>7.1705568156874219E-3</v>
      </c>
      <c r="L41">
        <v>5.229805521159589E-2</v>
      </c>
    </row>
    <row r="42" spans="8:12" x14ac:dyDescent="0.25">
      <c r="H42">
        <v>-6</v>
      </c>
      <c r="I42">
        <v>0</v>
      </c>
      <c r="J42">
        <v>3.599193780593147E-4</v>
      </c>
      <c r="K42">
        <v>1.463378941977025E-4</v>
      </c>
      <c r="L42">
        <v>1.4567703401558745E-4</v>
      </c>
    </row>
    <row r="43" spans="8:12" x14ac:dyDescent="0.25">
      <c r="H43">
        <v>-5</v>
      </c>
      <c r="I43">
        <v>3.669194655110148E-2</v>
      </c>
      <c r="J43">
        <v>3.3472502159516269E-2</v>
      </c>
      <c r="K43">
        <v>3.6438135655227924E-2</v>
      </c>
      <c r="L43">
        <v>0.12797727438269357</v>
      </c>
    </row>
    <row r="44" spans="8:12" x14ac:dyDescent="0.25">
      <c r="H44">
        <v>-4</v>
      </c>
      <c r="I44">
        <v>1.8851570964247021E-2</v>
      </c>
      <c r="J44">
        <v>2.2962856320184279E-2</v>
      </c>
      <c r="K44">
        <v>2.0999487817370308E-2</v>
      </c>
      <c r="L44">
        <v>3.2048947483429235E-2</v>
      </c>
    </row>
    <row r="45" spans="8:12" x14ac:dyDescent="0.25">
      <c r="H45">
        <v>-3</v>
      </c>
      <c r="I45">
        <v>4.1531238714337303E-2</v>
      </c>
      <c r="J45">
        <v>4.9021019291678666E-2</v>
      </c>
      <c r="K45">
        <v>5.0632911392405063E-2</v>
      </c>
      <c r="L45">
        <v>3.9988345837278755E-2</v>
      </c>
    </row>
    <row r="46" spans="8:12" x14ac:dyDescent="0.25">
      <c r="H46">
        <v>-2</v>
      </c>
      <c r="I46">
        <v>0.18699891657638137</v>
      </c>
      <c r="J46">
        <v>0.12913907284768211</v>
      </c>
      <c r="K46">
        <v>0.16250823150654861</v>
      </c>
      <c r="L46">
        <v>0.14057833782504189</v>
      </c>
    </row>
    <row r="47" spans="8:12" x14ac:dyDescent="0.25">
      <c r="H47">
        <v>-1</v>
      </c>
      <c r="I47">
        <v>8.1328999638858798E-2</v>
      </c>
      <c r="J47">
        <v>0.10588828102505039</v>
      </c>
      <c r="K47">
        <v>9.0217311772883585E-2</v>
      </c>
      <c r="L47">
        <v>6.2349770558671427E-2</v>
      </c>
    </row>
    <row r="48" spans="8:12" x14ac:dyDescent="0.25">
      <c r="H48">
        <v>0</v>
      </c>
      <c r="I48">
        <v>0.1598410978692669</v>
      </c>
      <c r="J48">
        <v>0.28887129283040597</v>
      </c>
      <c r="K48">
        <v>0.25433526011560692</v>
      </c>
      <c r="L48">
        <v>6.9196591157404036E-2</v>
      </c>
    </row>
    <row r="49" spans="8:12" x14ac:dyDescent="0.25">
      <c r="H49">
        <v>1</v>
      </c>
      <c r="I49">
        <v>0.10566991693752258</v>
      </c>
      <c r="J49">
        <v>0.11164699107399942</v>
      </c>
      <c r="K49">
        <v>7.6827394453793815E-2</v>
      </c>
      <c r="L49">
        <v>3.547235778279554E-2</v>
      </c>
    </row>
    <row r="50" spans="8:12" x14ac:dyDescent="0.25">
      <c r="H50">
        <v>2</v>
      </c>
      <c r="I50">
        <v>0.24160346695557963</v>
      </c>
      <c r="J50">
        <v>0.13036279873308379</v>
      </c>
      <c r="K50">
        <v>0.1380698031755323</v>
      </c>
      <c r="L50">
        <v>0.10714545851846456</v>
      </c>
    </row>
    <row r="51" spans="8:12" x14ac:dyDescent="0.25">
      <c r="H51">
        <v>3</v>
      </c>
      <c r="I51">
        <v>5.2293246659443841E-2</v>
      </c>
      <c r="J51">
        <v>7.0256262597178237E-2</v>
      </c>
      <c r="K51">
        <v>9.3070900709738794E-2</v>
      </c>
      <c r="L51">
        <v>8.5366741933134246E-2</v>
      </c>
    </row>
    <row r="52" spans="8:12" x14ac:dyDescent="0.25">
      <c r="H52">
        <v>4</v>
      </c>
      <c r="I52">
        <v>2.7302275189599132E-2</v>
      </c>
      <c r="J52">
        <v>3.6639792686438237E-2</v>
      </c>
      <c r="K52">
        <v>3.5413770395844001E-2</v>
      </c>
      <c r="L52">
        <v>4.4358656857746377E-2</v>
      </c>
    </row>
    <row r="53" spans="8:12" x14ac:dyDescent="0.25">
      <c r="H53">
        <v>5</v>
      </c>
      <c r="I53">
        <v>1.6684723726977248E-2</v>
      </c>
      <c r="J53">
        <v>1.5044630002879355E-2</v>
      </c>
      <c r="K53">
        <v>1.6609350991439235E-2</v>
      </c>
      <c r="L53">
        <v>9.97887683006774E-2</v>
      </c>
    </row>
    <row r="54" spans="8:12" x14ac:dyDescent="0.25">
      <c r="H54">
        <v>6</v>
      </c>
      <c r="I54">
        <v>1.4445648248465149E-4</v>
      </c>
      <c r="J54">
        <v>7.1983875611862942E-5</v>
      </c>
      <c r="K54">
        <v>4.390136825931075E-4</v>
      </c>
      <c r="L54">
        <v>5.8270813606234979E-4</v>
      </c>
    </row>
    <row r="55" spans="8:12" x14ac:dyDescent="0.25">
      <c r="H55">
        <v>7</v>
      </c>
      <c r="I55">
        <v>1.0256410256410256E-2</v>
      </c>
      <c r="J55">
        <v>1.6556291390728477E-3</v>
      </c>
      <c r="K55">
        <v>1.0975342064827687E-2</v>
      </c>
      <c r="L55">
        <v>7.8884113919440599E-2</v>
      </c>
    </row>
    <row r="56" spans="8:12" x14ac:dyDescent="0.25">
      <c r="H56">
        <v>8</v>
      </c>
      <c r="I56">
        <v>4.3336944745395449E-4</v>
      </c>
      <c r="J56">
        <v>7.1983875611862942E-5</v>
      </c>
      <c r="K56">
        <v>5.8535157679081001E-4</v>
      </c>
      <c r="L56">
        <v>5.7542428436157039E-3</v>
      </c>
    </row>
    <row r="57" spans="8:12" x14ac:dyDescent="0.25">
      <c r="H57">
        <v>9</v>
      </c>
      <c r="I57">
        <v>2.8891296496930298E-4</v>
      </c>
      <c r="J57">
        <v>2.8793550244745177E-4</v>
      </c>
      <c r="K57">
        <v>5.1218262969195876E-4</v>
      </c>
      <c r="L57">
        <v>1.6752858911792555E-3</v>
      </c>
    </row>
    <row r="58" spans="8:12" x14ac:dyDescent="0.25">
      <c r="H58">
        <v>10</v>
      </c>
      <c r="I58">
        <v>0</v>
      </c>
      <c r="J58">
        <v>0</v>
      </c>
      <c r="K58">
        <v>0</v>
      </c>
      <c r="L58">
        <v>0</v>
      </c>
    </row>
    <row r="59" spans="8:12" x14ac:dyDescent="0.25">
      <c r="H59">
        <v>11</v>
      </c>
      <c r="I59">
        <v>0</v>
      </c>
      <c r="J59">
        <v>0</v>
      </c>
      <c r="K59">
        <v>0</v>
      </c>
      <c r="L59">
        <v>0</v>
      </c>
    </row>
    <row r="60" spans="8:12" x14ac:dyDescent="0.25">
      <c r="H60">
        <v>12</v>
      </c>
      <c r="I60">
        <v>2.8891296496930298E-4</v>
      </c>
      <c r="J60">
        <v>0</v>
      </c>
      <c r="K60">
        <v>0</v>
      </c>
      <c r="L60">
        <v>2.6950251292883675E-3</v>
      </c>
    </row>
  </sheetData>
  <mergeCells count="6">
    <mergeCell ref="A1:A2"/>
    <mergeCell ref="B1:E1"/>
    <mergeCell ref="H1:H2"/>
    <mergeCell ref="I1:L1"/>
    <mergeCell ref="H34:H35"/>
    <mergeCell ref="I34:L34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0251-427B-4B39-9F6E-67C0C28E1090}">
  <dimension ref="A1:O84"/>
  <sheetViews>
    <sheetView zoomScale="115" zoomScaleNormal="115" workbookViewId="0">
      <selection activeCell="G35" sqref="G35"/>
    </sheetView>
  </sheetViews>
  <sheetFormatPr baseColWidth="10" defaultColWidth="11.42578125" defaultRowHeight="15" x14ac:dyDescent="0.25"/>
  <cols>
    <col min="1" max="1" width="18.7109375" style="4" customWidth="1"/>
    <col min="2" max="3" width="15.42578125" style="4" customWidth="1"/>
    <col min="4" max="4" width="15.85546875" style="4" customWidth="1"/>
    <col min="5" max="5" width="18.140625" customWidth="1"/>
    <col min="7" max="7" width="13.42578125" customWidth="1"/>
    <col min="8" max="8" width="15.5703125" style="4" customWidth="1"/>
    <col min="9" max="9" width="11.42578125" style="6"/>
  </cols>
  <sheetData>
    <row r="1" spans="1:15" ht="60" x14ac:dyDescent="0.25">
      <c r="A1" s="8" t="s">
        <v>92</v>
      </c>
      <c r="B1" s="8" t="s">
        <v>90</v>
      </c>
      <c r="C1" s="8" t="s">
        <v>184</v>
      </c>
      <c r="D1" s="8" t="s">
        <v>91</v>
      </c>
      <c r="E1" s="15" t="s">
        <v>185</v>
      </c>
      <c r="F1" s="8" t="s">
        <v>186</v>
      </c>
      <c r="G1" s="17"/>
    </row>
    <row r="2" spans="1:15" ht="45" x14ac:dyDescent="0.25">
      <c r="A2" s="18" t="s">
        <v>187</v>
      </c>
      <c r="B2" s="12">
        <v>6651</v>
      </c>
      <c r="C2" s="19">
        <f>B2/B83</f>
        <v>0.44796928672459085</v>
      </c>
      <c r="D2" s="11">
        <v>6104</v>
      </c>
      <c r="E2">
        <f>D2/D83</f>
        <v>0.45290298645891303</v>
      </c>
      <c r="F2" s="11">
        <f>B2-D2</f>
        <v>547</v>
      </c>
      <c r="H2" s="10"/>
    </row>
    <row r="3" spans="1:15" ht="45" x14ac:dyDescent="0.25">
      <c r="A3" s="18" t="s">
        <v>188</v>
      </c>
      <c r="B3" s="12">
        <v>4003</v>
      </c>
      <c r="C3" s="19">
        <f>B3/B83</f>
        <v>0.26961675759412673</v>
      </c>
      <c r="D3" s="11">
        <v>3712.5</v>
      </c>
      <c r="E3">
        <f>D3/D83</f>
        <v>0.27545909849749584</v>
      </c>
      <c r="F3" s="11">
        <f t="shared" ref="F3:F66" si="0">B3-D3</f>
        <v>290.5</v>
      </c>
    </row>
    <row r="4" spans="1:15" ht="45" x14ac:dyDescent="0.25">
      <c r="A4" s="18" t="s">
        <v>189</v>
      </c>
      <c r="B4" s="12">
        <v>1425</v>
      </c>
      <c r="C4" s="19">
        <f>B4/B83</f>
        <v>9.5978985653667401E-2</v>
      </c>
      <c r="D4" s="11">
        <v>1275</v>
      </c>
      <c r="E4">
        <f>D4/D83</f>
        <v>9.4602114635503623E-2</v>
      </c>
      <c r="F4" s="11">
        <f t="shared" si="0"/>
        <v>150</v>
      </c>
    </row>
    <row r="5" spans="1:15" ht="45" x14ac:dyDescent="0.25">
      <c r="A5" s="18" t="s">
        <v>190</v>
      </c>
      <c r="B5" s="12">
        <v>546</v>
      </c>
      <c r="C5" s="19">
        <f>B5/B83</f>
        <v>3.6775106082036775E-2</v>
      </c>
      <c r="D5" s="11">
        <v>534</v>
      </c>
      <c r="E5">
        <f>D5/D83</f>
        <v>3.9621591541457987E-2</v>
      </c>
      <c r="F5" s="11">
        <f t="shared" si="0"/>
        <v>12</v>
      </c>
    </row>
    <row r="6" spans="1:15" ht="45" x14ac:dyDescent="0.25">
      <c r="A6" s="18" t="s">
        <v>191</v>
      </c>
      <c r="B6" s="12">
        <v>539</v>
      </c>
      <c r="C6" s="19">
        <f>B6/B83</f>
        <v>3.6303630363036306E-2</v>
      </c>
      <c r="D6" s="11">
        <v>479.5</v>
      </c>
      <c r="E6">
        <f>D6/D83</f>
        <v>3.5577814876646262E-2</v>
      </c>
      <c r="F6" s="11">
        <f t="shared" si="0"/>
        <v>59.5</v>
      </c>
    </row>
    <row r="7" spans="1:15" ht="30" x14ac:dyDescent="0.25">
      <c r="A7" s="18" t="s">
        <v>192</v>
      </c>
      <c r="B7" s="12">
        <v>430</v>
      </c>
      <c r="C7" s="19">
        <f>B7/B83</f>
        <v>2.8962079881457534E-2</v>
      </c>
      <c r="D7" s="11">
        <v>416</v>
      </c>
      <c r="E7">
        <f>D7/D83</f>
        <v>3.0866258579113338E-2</v>
      </c>
      <c r="F7" s="11">
        <f t="shared" si="0"/>
        <v>14</v>
      </c>
    </row>
    <row r="8" spans="1:15" ht="45" x14ac:dyDescent="0.25">
      <c r="A8" s="18" t="s">
        <v>193</v>
      </c>
      <c r="B8" s="12">
        <v>425</v>
      </c>
      <c r="C8" s="19">
        <f>B8/B83</f>
        <v>2.862531151074291E-2</v>
      </c>
      <c r="D8" s="11">
        <v>311.5</v>
      </c>
      <c r="E8">
        <f>D8/D83</f>
        <v>2.3112595065850491E-2</v>
      </c>
      <c r="F8" s="11">
        <f t="shared" si="0"/>
        <v>113.5</v>
      </c>
    </row>
    <row r="9" spans="1:15" ht="30" x14ac:dyDescent="0.25">
      <c r="A9" s="18" t="s">
        <v>194</v>
      </c>
      <c r="B9" s="12">
        <v>155</v>
      </c>
      <c r="C9" s="19">
        <f>B9/B83</f>
        <v>1.0439819492153297E-2</v>
      </c>
      <c r="D9" s="11">
        <v>150</v>
      </c>
      <c r="E9">
        <f>D9/D83</f>
        <v>1.1129660545353366E-2</v>
      </c>
      <c r="F9" s="11">
        <f t="shared" si="0"/>
        <v>5</v>
      </c>
      <c r="O9" s="9"/>
    </row>
    <row r="10" spans="1:15" ht="60" x14ac:dyDescent="0.25">
      <c r="A10" s="18" t="s">
        <v>195</v>
      </c>
      <c r="B10" s="12">
        <v>54</v>
      </c>
      <c r="C10" s="19">
        <f>B10/B83</f>
        <v>3.6370984037179229E-3</v>
      </c>
      <c r="D10" s="11">
        <v>33.5</v>
      </c>
      <c r="E10">
        <f>D10/D83</f>
        <v>2.485624188462252E-3</v>
      </c>
      <c r="F10" s="11">
        <f t="shared" si="0"/>
        <v>20.5</v>
      </c>
    </row>
    <row r="11" spans="1:15" ht="60" x14ac:dyDescent="0.25">
      <c r="A11" s="18" t="s">
        <v>196</v>
      </c>
      <c r="B11" s="12">
        <v>48</v>
      </c>
      <c r="C11" s="19">
        <f>B11/B83</f>
        <v>3.2329763588603757E-3</v>
      </c>
      <c r="D11" s="11">
        <v>46</v>
      </c>
      <c r="E11">
        <f>D11/D83</f>
        <v>3.4130959005750326E-3</v>
      </c>
      <c r="F11" s="11">
        <f t="shared" si="0"/>
        <v>2</v>
      </c>
    </row>
    <row r="12" spans="1:15" ht="45" x14ac:dyDescent="0.25">
      <c r="A12" s="18" t="s">
        <v>202</v>
      </c>
      <c r="B12" s="12">
        <v>33</v>
      </c>
      <c r="C12" s="19">
        <f>B12/B83</f>
        <v>2.2226712467165082E-3</v>
      </c>
      <c r="D12" s="11">
        <v>26.5</v>
      </c>
      <c r="E12">
        <f>D12/D83</f>
        <v>1.9662400296790949E-3</v>
      </c>
      <c r="F12" s="11">
        <f t="shared" si="0"/>
        <v>6.5</v>
      </c>
    </row>
    <row r="13" spans="1:15" ht="60" x14ac:dyDescent="0.25">
      <c r="A13" s="18" t="s">
        <v>197</v>
      </c>
      <c r="B13" s="12">
        <v>32</v>
      </c>
      <c r="C13" s="19">
        <f>B13/B83</f>
        <v>2.1553175725735839E-3</v>
      </c>
      <c r="D13" s="11">
        <v>26</v>
      </c>
      <c r="E13">
        <f>D13/D83</f>
        <v>1.9291411611945836E-3</v>
      </c>
      <c r="F13" s="11">
        <f t="shared" si="0"/>
        <v>6</v>
      </c>
    </row>
    <row r="14" spans="1:15" ht="60" x14ac:dyDescent="0.25">
      <c r="A14" s="18" t="s">
        <v>198</v>
      </c>
      <c r="B14" s="12">
        <v>32</v>
      </c>
      <c r="C14" s="19">
        <f>B14/B83</f>
        <v>2.1553175725735839E-3</v>
      </c>
      <c r="D14" s="11">
        <v>21.5</v>
      </c>
      <c r="E14">
        <f>D14/D83</f>
        <v>1.5952513448339826E-3</v>
      </c>
      <c r="F14" s="11">
        <f t="shared" si="0"/>
        <v>10.5</v>
      </c>
    </row>
    <row r="15" spans="1:15" ht="45" x14ac:dyDescent="0.25">
      <c r="A15" s="18" t="s">
        <v>199</v>
      </c>
      <c r="B15" s="12">
        <v>29</v>
      </c>
      <c r="C15" s="19">
        <f>B15/B83</f>
        <v>1.9532565501448104E-3</v>
      </c>
      <c r="D15" s="11">
        <v>17</v>
      </c>
      <c r="E15">
        <f>D15/D83</f>
        <v>1.2613615284733815E-3</v>
      </c>
      <c r="F15" s="11">
        <f t="shared" si="0"/>
        <v>12</v>
      </c>
    </row>
    <row r="16" spans="1:15" ht="60" x14ac:dyDescent="0.25">
      <c r="A16" s="18" t="s">
        <v>200</v>
      </c>
      <c r="B16" s="12">
        <v>27</v>
      </c>
      <c r="C16" s="19">
        <f>B16/B83</f>
        <v>1.8185492018589614E-3</v>
      </c>
      <c r="D16" s="11">
        <v>19.5</v>
      </c>
      <c r="E16">
        <f>D16/D83</f>
        <v>1.4468558708959378E-3</v>
      </c>
      <c r="F16" s="11">
        <f t="shared" si="0"/>
        <v>7.5</v>
      </c>
    </row>
    <row r="17" spans="1:6" ht="60" x14ac:dyDescent="0.25">
      <c r="A17" s="18" t="s">
        <v>201</v>
      </c>
      <c r="B17" s="12">
        <v>26</v>
      </c>
      <c r="C17" s="19">
        <f>B17/B83</f>
        <v>1.751195527716037E-3</v>
      </c>
      <c r="D17" s="11">
        <v>15</v>
      </c>
      <c r="E17">
        <f>D17/D83</f>
        <v>1.1129660545353367E-3</v>
      </c>
      <c r="F17" s="11">
        <f t="shared" si="0"/>
        <v>11</v>
      </c>
    </row>
    <row r="18" spans="1:6" ht="30" x14ac:dyDescent="0.25">
      <c r="A18" s="18" t="s">
        <v>203</v>
      </c>
      <c r="B18" s="12">
        <v>25</v>
      </c>
      <c r="C18" s="19">
        <f>B18/B83</f>
        <v>1.6838418535731123E-3</v>
      </c>
      <c r="D18" s="11">
        <v>23.5</v>
      </c>
      <c r="E18">
        <f>D18/D83</f>
        <v>1.7436468187720273E-3</v>
      </c>
      <c r="F18" s="11">
        <f t="shared" si="0"/>
        <v>1.5</v>
      </c>
    </row>
    <row r="19" spans="1:6" x14ac:dyDescent="0.25">
      <c r="A19" s="4" t="s">
        <v>146</v>
      </c>
      <c r="B19" s="12">
        <v>25</v>
      </c>
      <c r="C19" s="19">
        <f>B19/B83</f>
        <v>1.6838418535731123E-3</v>
      </c>
      <c r="D19" s="11">
        <v>23</v>
      </c>
      <c r="E19">
        <f>D19/D83</f>
        <v>1.7065479502875163E-3</v>
      </c>
      <c r="F19" s="11">
        <f t="shared" si="0"/>
        <v>2</v>
      </c>
    </row>
    <row r="20" spans="1:6" x14ac:dyDescent="0.25">
      <c r="A20" s="4" t="s">
        <v>167</v>
      </c>
      <c r="B20" s="12">
        <v>22</v>
      </c>
      <c r="C20" s="19">
        <f>B20/B83</f>
        <v>1.4817808311443389E-3</v>
      </c>
      <c r="D20" s="11">
        <v>19</v>
      </c>
      <c r="E20">
        <f>D20/D83</f>
        <v>1.4097570024114265E-3</v>
      </c>
      <c r="F20" s="11">
        <f t="shared" si="0"/>
        <v>3</v>
      </c>
    </row>
    <row r="21" spans="1:6" x14ac:dyDescent="0.25">
      <c r="A21" s="4" t="s">
        <v>168</v>
      </c>
      <c r="B21" s="12">
        <v>20</v>
      </c>
      <c r="C21" s="19">
        <f>B21/B83</f>
        <v>1.34707348285849E-3</v>
      </c>
      <c r="D21" s="11">
        <v>15</v>
      </c>
      <c r="E21">
        <f>D21/D83</f>
        <v>1.1129660545353367E-3</v>
      </c>
      <c r="F21" s="11">
        <f t="shared" si="0"/>
        <v>5</v>
      </c>
    </row>
    <row r="22" spans="1:6" x14ac:dyDescent="0.25">
      <c r="A22" s="4" t="s">
        <v>166</v>
      </c>
      <c r="B22" s="12">
        <v>20</v>
      </c>
      <c r="C22" s="19">
        <f>B22/B83</f>
        <v>1.34707348285849E-3</v>
      </c>
      <c r="D22" s="11">
        <v>13.5</v>
      </c>
      <c r="E22">
        <f>D22/D83</f>
        <v>1.0016694490818029E-3</v>
      </c>
      <c r="F22" s="11">
        <f t="shared" si="0"/>
        <v>6.5</v>
      </c>
    </row>
    <row r="23" spans="1:6" x14ac:dyDescent="0.25">
      <c r="A23" s="4" t="s">
        <v>169</v>
      </c>
      <c r="B23" s="12">
        <v>17</v>
      </c>
      <c r="C23" s="19">
        <f>B23/B83</f>
        <v>1.1450124604297164E-3</v>
      </c>
      <c r="D23" s="11">
        <v>11.5</v>
      </c>
      <c r="E23">
        <f>D23/D83</f>
        <v>8.5327397514375816E-4</v>
      </c>
      <c r="F23" s="11">
        <f t="shared" si="0"/>
        <v>5.5</v>
      </c>
    </row>
    <row r="24" spans="1:6" x14ac:dyDescent="0.25">
      <c r="A24" s="4" t="s">
        <v>140</v>
      </c>
      <c r="B24" s="12">
        <v>16</v>
      </c>
      <c r="C24" s="19">
        <f>B24/B83</f>
        <v>1.077658786286792E-3</v>
      </c>
      <c r="D24" s="11">
        <v>11</v>
      </c>
      <c r="E24">
        <f>D24/D83</f>
        <v>8.161751066592469E-4</v>
      </c>
      <c r="F24" s="11">
        <f t="shared" si="0"/>
        <v>5</v>
      </c>
    </row>
    <row r="25" spans="1:6" x14ac:dyDescent="0.25">
      <c r="A25" s="4" t="s">
        <v>176</v>
      </c>
      <c r="B25" s="12">
        <v>15</v>
      </c>
      <c r="C25" s="19">
        <f>B25/B83</f>
        <v>1.0103051121438675E-3</v>
      </c>
      <c r="D25" s="11">
        <v>14</v>
      </c>
      <c r="E25">
        <f>D25/D83</f>
        <v>1.0387683175663142E-3</v>
      </c>
      <c r="F25" s="11">
        <f t="shared" si="0"/>
        <v>1</v>
      </c>
    </row>
    <row r="26" spans="1:6" x14ac:dyDescent="0.25">
      <c r="A26" s="4" t="s">
        <v>121</v>
      </c>
      <c r="B26" s="12">
        <v>15</v>
      </c>
      <c r="C26" s="19">
        <f>B26/B83</f>
        <v>1.0103051121438675E-3</v>
      </c>
      <c r="D26" s="11">
        <v>10.5</v>
      </c>
      <c r="E26">
        <f>D26/D83</f>
        <v>7.7907623817473565E-4</v>
      </c>
      <c r="F26" s="11">
        <f t="shared" si="0"/>
        <v>4.5</v>
      </c>
    </row>
    <row r="27" spans="1:6" x14ac:dyDescent="0.25">
      <c r="A27" s="4" t="s">
        <v>142</v>
      </c>
      <c r="B27" s="12">
        <v>15</v>
      </c>
      <c r="C27" s="19">
        <f>B27/B83</f>
        <v>1.0103051121438675E-3</v>
      </c>
      <c r="D27" s="11">
        <v>10</v>
      </c>
      <c r="E27">
        <f>D27/D83</f>
        <v>7.419773696902244E-4</v>
      </c>
      <c r="F27" s="11">
        <f t="shared" si="0"/>
        <v>5</v>
      </c>
    </row>
    <row r="28" spans="1:6" x14ac:dyDescent="0.25">
      <c r="A28" s="4" t="s">
        <v>175</v>
      </c>
      <c r="B28" s="12">
        <v>14</v>
      </c>
      <c r="C28" s="19">
        <f>B28/B83</f>
        <v>9.4295143800094295E-4</v>
      </c>
      <c r="D28" s="11">
        <v>9.5</v>
      </c>
      <c r="E28">
        <f>D28/D83</f>
        <v>7.0487850120571325E-4</v>
      </c>
      <c r="F28" s="11">
        <f t="shared" si="0"/>
        <v>4.5</v>
      </c>
    </row>
    <row r="29" spans="1:6" x14ac:dyDescent="0.25">
      <c r="A29" s="4" t="s">
        <v>131</v>
      </c>
      <c r="B29" s="12">
        <v>14</v>
      </c>
      <c r="C29" s="19">
        <f>B29/B83</f>
        <v>9.4295143800094295E-4</v>
      </c>
      <c r="D29" s="11">
        <v>8.5</v>
      </c>
      <c r="E29">
        <f>D29/D83</f>
        <v>6.3068076423669075E-4</v>
      </c>
      <c r="F29" s="11">
        <f t="shared" si="0"/>
        <v>5.5</v>
      </c>
    </row>
    <row r="30" spans="1:6" x14ac:dyDescent="0.25">
      <c r="A30" s="4" t="s">
        <v>126</v>
      </c>
      <c r="B30" s="12">
        <v>10</v>
      </c>
      <c r="C30" s="19">
        <f>B30/B83</f>
        <v>6.7353674142924501E-4</v>
      </c>
      <c r="D30" s="11">
        <v>7</v>
      </c>
      <c r="E30">
        <f>D30/D83</f>
        <v>5.193841587831571E-4</v>
      </c>
      <c r="F30" s="11">
        <f t="shared" si="0"/>
        <v>3</v>
      </c>
    </row>
    <row r="31" spans="1:6" x14ac:dyDescent="0.25">
      <c r="A31" s="4" t="s">
        <v>136</v>
      </c>
      <c r="B31" s="12">
        <v>10</v>
      </c>
      <c r="C31" s="19">
        <f>B31/B83</f>
        <v>6.7353674142924501E-4</v>
      </c>
      <c r="D31" s="11">
        <v>7</v>
      </c>
      <c r="E31">
        <f>D31/D83</f>
        <v>5.193841587831571E-4</v>
      </c>
      <c r="F31" s="11">
        <f t="shared" si="0"/>
        <v>3</v>
      </c>
    </row>
    <row r="32" spans="1:6" x14ac:dyDescent="0.25">
      <c r="A32" s="4" t="s">
        <v>183</v>
      </c>
      <c r="B32" s="12">
        <v>10</v>
      </c>
      <c r="C32" s="19">
        <f>B32/B83</f>
        <v>6.7353674142924501E-4</v>
      </c>
      <c r="D32" s="11">
        <v>6.5</v>
      </c>
      <c r="E32">
        <f>D32/D83</f>
        <v>4.822852902986459E-4</v>
      </c>
      <c r="F32" s="11">
        <f t="shared" si="0"/>
        <v>3.5</v>
      </c>
    </row>
    <row r="33" spans="1:6" x14ac:dyDescent="0.25">
      <c r="A33" s="4" t="s">
        <v>162</v>
      </c>
      <c r="B33" s="12">
        <v>9</v>
      </c>
      <c r="C33" s="19">
        <f>B33/B83</f>
        <v>6.0618306728632044E-4</v>
      </c>
      <c r="D33" s="11">
        <v>6</v>
      </c>
      <c r="E33">
        <f>D33/D83</f>
        <v>4.4518642181413465E-4</v>
      </c>
      <c r="F33" s="11">
        <f t="shared" si="0"/>
        <v>3</v>
      </c>
    </row>
    <row r="34" spans="1:6" x14ac:dyDescent="0.25">
      <c r="A34" s="4" t="s">
        <v>132</v>
      </c>
      <c r="B34" s="12">
        <v>9</v>
      </c>
      <c r="C34" s="19">
        <f>B34/B83</f>
        <v>6.0618306728632044E-4</v>
      </c>
      <c r="D34" s="11">
        <v>5</v>
      </c>
      <c r="E34">
        <f>D34/D83</f>
        <v>3.709886848451122E-4</v>
      </c>
      <c r="F34" s="11">
        <f t="shared" si="0"/>
        <v>4</v>
      </c>
    </row>
    <row r="35" spans="1:6" x14ac:dyDescent="0.25">
      <c r="A35" s="4" t="s">
        <v>153</v>
      </c>
      <c r="B35" s="12">
        <v>8</v>
      </c>
      <c r="C35" s="19">
        <f>B35/B83</f>
        <v>5.3882939314339599E-4</v>
      </c>
      <c r="D35" s="11">
        <v>7.5</v>
      </c>
      <c r="E35">
        <f>D35/D83</f>
        <v>5.5648302726766835E-4</v>
      </c>
      <c r="F35" s="11">
        <f t="shared" si="0"/>
        <v>0.5</v>
      </c>
    </row>
    <row r="36" spans="1:6" x14ac:dyDescent="0.25">
      <c r="A36" s="4" t="s">
        <v>159</v>
      </c>
      <c r="B36" s="12">
        <v>8</v>
      </c>
      <c r="C36" s="19">
        <f>B36/B83</f>
        <v>5.3882939314339599E-4</v>
      </c>
      <c r="D36" s="11">
        <v>5</v>
      </c>
      <c r="E36">
        <f>D36/D83</f>
        <v>3.709886848451122E-4</v>
      </c>
      <c r="F36" s="11">
        <f t="shared" si="0"/>
        <v>3</v>
      </c>
    </row>
    <row r="37" spans="1:6" x14ac:dyDescent="0.25">
      <c r="A37" s="4" t="s">
        <v>125</v>
      </c>
      <c r="B37" s="12">
        <v>7</v>
      </c>
      <c r="C37" s="19">
        <f>B37/B83</f>
        <v>4.7147571900047147E-4</v>
      </c>
      <c r="D37" s="11">
        <v>7</v>
      </c>
      <c r="E37">
        <f>D37/D83</f>
        <v>5.193841587831571E-4</v>
      </c>
      <c r="F37" s="11">
        <f t="shared" si="0"/>
        <v>0</v>
      </c>
    </row>
    <row r="38" spans="1:6" x14ac:dyDescent="0.25">
      <c r="A38" s="4" t="s">
        <v>173</v>
      </c>
      <c r="B38" s="12">
        <v>7</v>
      </c>
      <c r="C38" s="19">
        <f>B38/B83</f>
        <v>4.7147571900047147E-4</v>
      </c>
      <c r="D38" s="11">
        <v>3.5</v>
      </c>
      <c r="E38">
        <f>D38/D83</f>
        <v>2.5969207939157855E-4</v>
      </c>
      <c r="F38" s="11">
        <f t="shared" si="0"/>
        <v>3.5</v>
      </c>
    </row>
    <row r="39" spans="1:6" x14ac:dyDescent="0.25">
      <c r="A39" s="4" t="s">
        <v>171</v>
      </c>
      <c r="B39" s="12">
        <v>6</v>
      </c>
      <c r="C39" s="19">
        <f>B39/B83</f>
        <v>4.0412204485754696E-4</v>
      </c>
      <c r="D39" s="11">
        <v>5</v>
      </c>
      <c r="E39">
        <f>D39/D83</f>
        <v>3.709886848451122E-4</v>
      </c>
      <c r="F39" s="11">
        <f t="shared" si="0"/>
        <v>1</v>
      </c>
    </row>
    <row r="40" spans="1:6" x14ac:dyDescent="0.25">
      <c r="A40" s="4" t="s">
        <v>143</v>
      </c>
      <c r="B40" s="12">
        <v>6</v>
      </c>
      <c r="C40" s="19">
        <f>B40/B83</f>
        <v>4.0412204485754696E-4</v>
      </c>
      <c r="D40" s="11">
        <v>4.5</v>
      </c>
      <c r="E40">
        <f>D40/D83</f>
        <v>3.33889816360601E-4</v>
      </c>
      <c r="F40" s="11">
        <f t="shared" si="0"/>
        <v>1.5</v>
      </c>
    </row>
    <row r="41" spans="1:6" x14ac:dyDescent="0.25">
      <c r="A41" s="4" t="s">
        <v>145</v>
      </c>
      <c r="B41" s="12">
        <v>6</v>
      </c>
      <c r="C41" s="19">
        <f>B41/B83</f>
        <v>4.0412204485754696E-4</v>
      </c>
      <c r="D41" s="11">
        <v>4.5</v>
      </c>
      <c r="E41">
        <f>D41/D83</f>
        <v>3.33889816360601E-4</v>
      </c>
      <c r="F41" s="11">
        <f t="shared" si="0"/>
        <v>1.5</v>
      </c>
    </row>
    <row r="42" spans="1:6" x14ac:dyDescent="0.25">
      <c r="A42" s="4" t="s">
        <v>155</v>
      </c>
      <c r="B42" s="12">
        <v>6</v>
      </c>
      <c r="C42" s="19">
        <f>B42/B83</f>
        <v>4.0412204485754696E-4</v>
      </c>
      <c r="D42" s="11">
        <v>4</v>
      </c>
      <c r="E42">
        <f>D42/D83</f>
        <v>2.967909478760898E-4</v>
      </c>
      <c r="F42" s="11">
        <f t="shared" si="0"/>
        <v>2</v>
      </c>
    </row>
    <row r="43" spans="1:6" x14ac:dyDescent="0.25">
      <c r="A43" s="4" t="s">
        <v>164</v>
      </c>
      <c r="B43" s="12">
        <v>5</v>
      </c>
      <c r="C43" s="19">
        <f>B43/B83</f>
        <v>3.367683707146225E-4</v>
      </c>
      <c r="D43" s="11">
        <v>4.5</v>
      </c>
      <c r="E43">
        <f>D43/D83</f>
        <v>3.33889816360601E-4</v>
      </c>
      <c r="F43" s="11">
        <f t="shared" si="0"/>
        <v>0.5</v>
      </c>
    </row>
    <row r="44" spans="1:6" x14ac:dyDescent="0.25">
      <c r="A44" s="4" t="s">
        <v>129</v>
      </c>
      <c r="B44" s="12">
        <v>5</v>
      </c>
      <c r="C44" s="19">
        <f>B44/B83</f>
        <v>3.367683707146225E-4</v>
      </c>
      <c r="D44" s="11">
        <v>4</v>
      </c>
      <c r="E44">
        <f>D44/D83</f>
        <v>2.967909478760898E-4</v>
      </c>
      <c r="F44" s="11">
        <f t="shared" si="0"/>
        <v>1</v>
      </c>
    </row>
    <row r="45" spans="1:6" x14ac:dyDescent="0.25">
      <c r="A45" s="4" t="s">
        <v>144</v>
      </c>
      <c r="B45" s="12">
        <v>4</v>
      </c>
      <c r="C45" s="19">
        <f>B45/B83</f>
        <v>2.6941469657169799E-4</v>
      </c>
      <c r="D45" s="11">
        <v>2</v>
      </c>
      <c r="E45">
        <f>D45/D83</f>
        <v>1.483954739380449E-4</v>
      </c>
      <c r="F45" s="11">
        <f t="shared" si="0"/>
        <v>2</v>
      </c>
    </row>
    <row r="46" spans="1:6" x14ac:dyDescent="0.25">
      <c r="A46" s="4" t="s">
        <v>177</v>
      </c>
      <c r="B46" s="12">
        <v>4</v>
      </c>
      <c r="C46" s="19">
        <f>B46/B83</f>
        <v>2.6941469657169799E-4</v>
      </c>
      <c r="D46" s="11">
        <v>2</v>
      </c>
      <c r="E46">
        <f>D46/D83</f>
        <v>1.483954739380449E-4</v>
      </c>
      <c r="F46" s="11">
        <f t="shared" si="0"/>
        <v>2</v>
      </c>
    </row>
    <row r="47" spans="1:6" x14ac:dyDescent="0.25">
      <c r="A47" s="4" t="s">
        <v>182</v>
      </c>
      <c r="B47" s="12">
        <v>3</v>
      </c>
      <c r="C47" s="19">
        <f>B47/B83</f>
        <v>2.0206102242877348E-4</v>
      </c>
      <c r="D47" s="11">
        <v>3</v>
      </c>
      <c r="E47">
        <f>D47/D83</f>
        <v>2.2259321090706732E-4</v>
      </c>
      <c r="F47" s="11">
        <f t="shared" si="0"/>
        <v>0</v>
      </c>
    </row>
    <row r="48" spans="1:6" x14ac:dyDescent="0.25">
      <c r="A48" s="4" t="s">
        <v>122</v>
      </c>
      <c r="B48" s="12">
        <v>3</v>
      </c>
      <c r="C48" s="19">
        <f>B48/B83</f>
        <v>2.0206102242877348E-4</v>
      </c>
      <c r="D48" s="11">
        <v>2.5</v>
      </c>
      <c r="E48">
        <f>D48/D83</f>
        <v>1.854943424225561E-4</v>
      </c>
      <c r="F48" s="11">
        <f t="shared" si="0"/>
        <v>0.5</v>
      </c>
    </row>
    <row r="49" spans="1:6" x14ac:dyDescent="0.25">
      <c r="A49" s="4" t="s">
        <v>149</v>
      </c>
      <c r="B49" s="12">
        <v>3</v>
      </c>
      <c r="C49" s="19">
        <f>B49/B83</f>
        <v>2.0206102242877348E-4</v>
      </c>
      <c r="D49" s="11">
        <v>1.5</v>
      </c>
      <c r="E49">
        <f>D49/D83</f>
        <v>1.1129660545353366E-4</v>
      </c>
      <c r="F49" s="11">
        <f t="shared" si="0"/>
        <v>1.5</v>
      </c>
    </row>
    <row r="50" spans="1:6" x14ac:dyDescent="0.25">
      <c r="A50" s="4" t="s">
        <v>179</v>
      </c>
      <c r="B50" s="12">
        <v>3</v>
      </c>
      <c r="C50" s="19">
        <f>B50/B83</f>
        <v>2.0206102242877348E-4</v>
      </c>
      <c r="D50" s="11">
        <v>1.5</v>
      </c>
      <c r="E50">
        <f>D50/D83</f>
        <v>1.1129660545353366E-4</v>
      </c>
      <c r="F50" s="11">
        <f t="shared" si="0"/>
        <v>1.5</v>
      </c>
    </row>
    <row r="51" spans="1:6" x14ac:dyDescent="0.25">
      <c r="A51" s="4" t="s">
        <v>134</v>
      </c>
      <c r="B51" s="12">
        <v>2</v>
      </c>
      <c r="C51" s="19">
        <f>B51/B83</f>
        <v>1.34707348285849E-4</v>
      </c>
      <c r="D51" s="11">
        <v>2</v>
      </c>
      <c r="E51">
        <f>D51/D83</f>
        <v>1.483954739380449E-4</v>
      </c>
      <c r="F51" s="11">
        <f t="shared" si="0"/>
        <v>0</v>
      </c>
    </row>
    <row r="52" spans="1:6" x14ac:dyDescent="0.25">
      <c r="A52" s="4" t="s">
        <v>127</v>
      </c>
      <c r="B52" s="12">
        <v>2</v>
      </c>
      <c r="C52" s="19">
        <f>B52/B83</f>
        <v>1.34707348285849E-4</v>
      </c>
      <c r="D52" s="11">
        <v>1.5</v>
      </c>
      <c r="E52">
        <f>D52/D83</f>
        <v>1.1129660545353366E-4</v>
      </c>
      <c r="F52" s="11">
        <f t="shared" si="0"/>
        <v>0.5</v>
      </c>
    </row>
    <row r="53" spans="1:6" x14ac:dyDescent="0.25">
      <c r="A53" s="4" t="s">
        <v>148</v>
      </c>
      <c r="B53" s="12">
        <v>2</v>
      </c>
      <c r="C53" s="19">
        <f>B53/B83</f>
        <v>1.34707348285849E-4</v>
      </c>
      <c r="D53" s="11">
        <v>1.5</v>
      </c>
      <c r="E53">
        <f>D53/D83</f>
        <v>1.1129660545353366E-4</v>
      </c>
      <c r="F53" s="11">
        <f t="shared" si="0"/>
        <v>0.5</v>
      </c>
    </row>
    <row r="54" spans="1:6" x14ac:dyDescent="0.25">
      <c r="A54" s="4" t="s">
        <v>156</v>
      </c>
      <c r="B54" s="12">
        <v>2</v>
      </c>
      <c r="C54" s="19">
        <f>B54/B83</f>
        <v>1.34707348285849E-4</v>
      </c>
      <c r="D54" s="11">
        <v>1.5</v>
      </c>
      <c r="E54">
        <f>D54/D83</f>
        <v>1.1129660545353366E-4</v>
      </c>
      <c r="F54" s="11">
        <f t="shared" si="0"/>
        <v>0.5</v>
      </c>
    </row>
    <row r="55" spans="1:6" x14ac:dyDescent="0.25">
      <c r="A55" s="4" t="s">
        <v>161</v>
      </c>
      <c r="B55" s="12">
        <v>2</v>
      </c>
      <c r="C55" s="19">
        <f>B55/B83</f>
        <v>1.34707348285849E-4</v>
      </c>
      <c r="D55" s="11">
        <v>1.5</v>
      </c>
      <c r="E55">
        <f>D55/D83</f>
        <v>1.1129660545353366E-4</v>
      </c>
      <c r="F55" s="11">
        <f t="shared" si="0"/>
        <v>0.5</v>
      </c>
    </row>
    <row r="56" spans="1:6" x14ac:dyDescent="0.25">
      <c r="A56" s="4" t="s">
        <v>172</v>
      </c>
      <c r="B56" s="12">
        <v>2</v>
      </c>
      <c r="C56" s="19">
        <f>B56/B83</f>
        <v>1.34707348285849E-4</v>
      </c>
      <c r="D56" s="11">
        <v>1.5</v>
      </c>
      <c r="E56">
        <f>D56/D83</f>
        <v>1.1129660545353366E-4</v>
      </c>
      <c r="F56" s="11">
        <f t="shared" si="0"/>
        <v>0.5</v>
      </c>
    </row>
    <row r="57" spans="1:6" x14ac:dyDescent="0.25">
      <c r="A57" s="4" t="s">
        <v>151</v>
      </c>
      <c r="B57" s="12">
        <v>2</v>
      </c>
      <c r="C57" s="19">
        <f>B57/B83</f>
        <v>1.34707348285849E-4</v>
      </c>
      <c r="D57" s="11">
        <v>1</v>
      </c>
      <c r="E57">
        <f>D57/D83</f>
        <v>7.4197736969022451E-5</v>
      </c>
      <c r="F57" s="11">
        <f t="shared" si="0"/>
        <v>1</v>
      </c>
    </row>
    <row r="58" spans="1:6" x14ac:dyDescent="0.25">
      <c r="A58" s="4" t="s">
        <v>135</v>
      </c>
      <c r="B58" s="12">
        <v>2</v>
      </c>
      <c r="C58" s="19">
        <f>B58/B83</f>
        <v>1.34707348285849E-4</v>
      </c>
      <c r="D58" s="11">
        <v>1</v>
      </c>
      <c r="E58">
        <f>D58/D83</f>
        <v>7.4197736969022451E-5</v>
      </c>
      <c r="F58" s="11">
        <f t="shared" si="0"/>
        <v>1</v>
      </c>
    </row>
    <row r="59" spans="1:6" x14ac:dyDescent="0.25">
      <c r="A59" s="4" t="s">
        <v>139</v>
      </c>
      <c r="B59" s="12">
        <v>2</v>
      </c>
      <c r="C59" s="19">
        <f>B59/B83</f>
        <v>1.34707348285849E-4</v>
      </c>
      <c r="D59" s="11">
        <v>1</v>
      </c>
      <c r="E59">
        <f>D59/D83</f>
        <v>7.4197736969022451E-5</v>
      </c>
      <c r="F59" s="11">
        <f t="shared" si="0"/>
        <v>1</v>
      </c>
    </row>
    <row r="60" spans="1:6" x14ac:dyDescent="0.25">
      <c r="A60" s="4" t="s">
        <v>157</v>
      </c>
      <c r="B60" s="12">
        <v>2</v>
      </c>
      <c r="C60" s="19">
        <f>B60/B83</f>
        <v>1.34707348285849E-4</v>
      </c>
      <c r="D60" s="11">
        <v>1</v>
      </c>
      <c r="E60">
        <f>D60/D83</f>
        <v>7.4197736969022451E-5</v>
      </c>
      <c r="F60" s="11">
        <f t="shared" si="0"/>
        <v>1</v>
      </c>
    </row>
    <row r="61" spans="1:6" x14ac:dyDescent="0.25">
      <c r="A61" s="4" t="s">
        <v>163</v>
      </c>
      <c r="B61" s="12">
        <v>2</v>
      </c>
      <c r="C61" s="19">
        <f>B61/B83</f>
        <v>1.34707348285849E-4</v>
      </c>
      <c r="D61" s="11">
        <v>1</v>
      </c>
      <c r="E61">
        <f>D61/D83</f>
        <v>7.4197736969022451E-5</v>
      </c>
      <c r="F61" s="11">
        <f t="shared" si="0"/>
        <v>1</v>
      </c>
    </row>
    <row r="62" spans="1:6" x14ac:dyDescent="0.25">
      <c r="A62" s="4" t="s">
        <v>158</v>
      </c>
      <c r="B62" s="12">
        <v>1</v>
      </c>
      <c r="C62" s="19">
        <f>B62/B83</f>
        <v>6.7353674142924498E-5</v>
      </c>
      <c r="D62" s="11">
        <v>1</v>
      </c>
      <c r="E62">
        <f>D62/D83</f>
        <v>7.4197736969022451E-5</v>
      </c>
      <c r="F62" s="11">
        <f t="shared" si="0"/>
        <v>0</v>
      </c>
    </row>
    <row r="63" spans="1:6" x14ac:dyDescent="0.25">
      <c r="A63" s="4" t="s">
        <v>128</v>
      </c>
      <c r="B63" s="12">
        <v>1</v>
      </c>
      <c r="C63" s="19">
        <f>B63/B83</f>
        <v>6.7353674142924498E-5</v>
      </c>
      <c r="D63" s="11">
        <v>1</v>
      </c>
      <c r="E63">
        <f>D63/D83</f>
        <v>7.4197736969022451E-5</v>
      </c>
      <c r="F63" s="11">
        <f t="shared" si="0"/>
        <v>0</v>
      </c>
    </row>
    <row r="64" spans="1:6" x14ac:dyDescent="0.25">
      <c r="A64" s="4" t="s">
        <v>138</v>
      </c>
      <c r="B64" s="12">
        <v>1</v>
      </c>
      <c r="C64" s="19">
        <f>B64/B83</f>
        <v>6.7353674142924498E-5</v>
      </c>
      <c r="D64" s="11">
        <v>1</v>
      </c>
      <c r="E64">
        <f>D64/D83</f>
        <v>7.4197736969022451E-5</v>
      </c>
      <c r="F64" s="11">
        <f t="shared" si="0"/>
        <v>0</v>
      </c>
    </row>
    <row r="65" spans="1:6" x14ac:dyDescent="0.25">
      <c r="A65" s="4" t="s">
        <v>170</v>
      </c>
      <c r="B65" s="12">
        <v>1</v>
      </c>
      <c r="C65" s="19">
        <f>B65/B83</f>
        <v>6.7353674142924498E-5</v>
      </c>
      <c r="D65" s="11">
        <v>1</v>
      </c>
      <c r="E65">
        <f>D65/D83</f>
        <v>7.4197736969022451E-5</v>
      </c>
      <c r="F65" s="11">
        <f t="shared" si="0"/>
        <v>0</v>
      </c>
    </row>
    <row r="66" spans="1:6" x14ac:dyDescent="0.25">
      <c r="A66" s="4" t="s">
        <v>174</v>
      </c>
      <c r="B66" s="12">
        <v>1</v>
      </c>
      <c r="C66" s="19">
        <f>B66/B83</f>
        <v>6.7353674142924498E-5</v>
      </c>
      <c r="D66" s="11">
        <v>1</v>
      </c>
      <c r="E66">
        <f>D66/D83</f>
        <v>7.4197736969022451E-5</v>
      </c>
      <c r="F66" s="11">
        <f t="shared" si="0"/>
        <v>0</v>
      </c>
    </row>
    <row r="67" spans="1:6" x14ac:dyDescent="0.25">
      <c r="A67" s="4" t="s">
        <v>178</v>
      </c>
      <c r="B67" s="12">
        <v>1</v>
      </c>
      <c r="C67" s="19">
        <f>B67/B83</f>
        <v>6.7353674142924498E-5</v>
      </c>
      <c r="D67" s="11">
        <v>1</v>
      </c>
      <c r="E67">
        <f>D67/D83</f>
        <v>7.4197736969022451E-5</v>
      </c>
      <c r="F67" s="11">
        <f t="shared" ref="F67:F81" si="1">B67-D67</f>
        <v>0</v>
      </c>
    </row>
    <row r="68" spans="1:6" x14ac:dyDescent="0.25">
      <c r="A68" s="4" t="s">
        <v>123</v>
      </c>
      <c r="B68" s="12">
        <v>1</v>
      </c>
      <c r="C68" s="19">
        <f>B68/B83</f>
        <v>6.7353674142924498E-5</v>
      </c>
      <c r="D68" s="11">
        <v>0.5</v>
      </c>
      <c r="E68">
        <f>D68/D83</f>
        <v>3.7098868484511225E-5</v>
      </c>
      <c r="F68" s="11">
        <f t="shared" si="1"/>
        <v>0.5</v>
      </c>
    </row>
    <row r="69" spans="1:6" x14ac:dyDescent="0.25">
      <c r="A69" s="4" t="s">
        <v>124</v>
      </c>
      <c r="B69" s="12">
        <v>1</v>
      </c>
      <c r="C69" s="19">
        <f>B69/B83</f>
        <v>6.7353674142924498E-5</v>
      </c>
      <c r="D69" s="11">
        <v>0.5</v>
      </c>
      <c r="E69">
        <f>D69/D83</f>
        <v>3.7098868484511225E-5</v>
      </c>
      <c r="F69" s="11">
        <f t="shared" si="1"/>
        <v>0.5</v>
      </c>
    </row>
    <row r="70" spans="1:6" x14ac:dyDescent="0.25">
      <c r="A70" s="4" t="s">
        <v>130</v>
      </c>
      <c r="B70" s="12">
        <v>1</v>
      </c>
      <c r="C70" s="19">
        <f>B70/B83</f>
        <v>6.7353674142924498E-5</v>
      </c>
      <c r="D70" s="11">
        <v>0.5</v>
      </c>
      <c r="E70">
        <f>D70/D83</f>
        <v>3.7098868484511225E-5</v>
      </c>
      <c r="F70" s="11">
        <f t="shared" si="1"/>
        <v>0.5</v>
      </c>
    </row>
    <row r="71" spans="1:6" x14ac:dyDescent="0.25">
      <c r="A71" s="4" t="s">
        <v>133</v>
      </c>
      <c r="B71" s="12">
        <v>1</v>
      </c>
      <c r="C71" s="19">
        <f>B71/B83</f>
        <v>6.7353674142924498E-5</v>
      </c>
      <c r="D71" s="11">
        <v>0.5</v>
      </c>
      <c r="E71">
        <f>D71/D83</f>
        <v>3.7098868484511225E-5</v>
      </c>
      <c r="F71" s="11">
        <f t="shared" si="1"/>
        <v>0.5</v>
      </c>
    </row>
    <row r="72" spans="1:6" x14ac:dyDescent="0.25">
      <c r="A72" s="4" t="s">
        <v>137</v>
      </c>
      <c r="B72" s="12">
        <v>1</v>
      </c>
      <c r="C72" s="19">
        <f>B72/B83</f>
        <v>6.7353674142924498E-5</v>
      </c>
      <c r="D72" s="11">
        <v>0.5</v>
      </c>
      <c r="E72">
        <f>D72/D83</f>
        <v>3.7098868484511225E-5</v>
      </c>
      <c r="F72" s="11">
        <f t="shared" si="1"/>
        <v>0.5</v>
      </c>
    </row>
    <row r="73" spans="1:6" x14ac:dyDescent="0.25">
      <c r="A73" s="4" t="s">
        <v>141</v>
      </c>
      <c r="B73" s="12">
        <v>1</v>
      </c>
      <c r="C73" s="19">
        <f>B73/B83</f>
        <v>6.7353674142924498E-5</v>
      </c>
      <c r="D73" s="11">
        <v>0.5</v>
      </c>
      <c r="E73">
        <f>D73/D83</f>
        <v>3.7098868484511225E-5</v>
      </c>
      <c r="F73" s="11">
        <f t="shared" si="1"/>
        <v>0.5</v>
      </c>
    </row>
    <row r="74" spans="1:6" x14ac:dyDescent="0.25">
      <c r="A74" s="4" t="s">
        <v>147</v>
      </c>
      <c r="B74" s="12">
        <v>1</v>
      </c>
      <c r="C74" s="19">
        <f>B74/B83</f>
        <v>6.7353674142924498E-5</v>
      </c>
      <c r="D74" s="11">
        <v>0.5</v>
      </c>
      <c r="E74">
        <f>D74/D83</f>
        <v>3.7098868484511225E-5</v>
      </c>
      <c r="F74" s="11">
        <f t="shared" si="1"/>
        <v>0.5</v>
      </c>
    </row>
    <row r="75" spans="1:6" x14ac:dyDescent="0.25">
      <c r="A75" s="4" t="s">
        <v>150</v>
      </c>
      <c r="B75" s="12">
        <v>1</v>
      </c>
      <c r="C75" s="19">
        <f>B75/B83</f>
        <v>6.7353674142924498E-5</v>
      </c>
      <c r="D75" s="11">
        <v>0.5</v>
      </c>
      <c r="E75">
        <f>D75/D83</f>
        <v>3.7098868484511225E-5</v>
      </c>
      <c r="F75" s="11">
        <f t="shared" si="1"/>
        <v>0.5</v>
      </c>
    </row>
    <row r="76" spans="1:6" x14ac:dyDescent="0.25">
      <c r="A76" s="4" t="s">
        <v>152</v>
      </c>
      <c r="B76" s="12">
        <v>1</v>
      </c>
      <c r="C76" s="19">
        <f>B76/B83</f>
        <v>6.7353674142924498E-5</v>
      </c>
      <c r="D76" s="11">
        <v>0.5</v>
      </c>
      <c r="E76">
        <f>D76/D83</f>
        <v>3.7098868484511225E-5</v>
      </c>
      <c r="F76" s="11">
        <f t="shared" si="1"/>
        <v>0.5</v>
      </c>
    </row>
    <row r="77" spans="1:6" x14ac:dyDescent="0.25">
      <c r="A77" s="4" t="s">
        <v>154</v>
      </c>
      <c r="B77" s="12">
        <v>1</v>
      </c>
      <c r="C77" s="19">
        <f>B77/B83</f>
        <v>6.7353674142924498E-5</v>
      </c>
      <c r="D77" s="11">
        <v>0.5</v>
      </c>
      <c r="E77">
        <f>D77/D83</f>
        <v>3.7098868484511225E-5</v>
      </c>
      <c r="F77" s="11">
        <f t="shared" si="1"/>
        <v>0.5</v>
      </c>
    </row>
    <row r="78" spans="1:6" x14ac:dyDescent="0.25">
      <c r="A78" s="4" t="s">
        <v>160</v>
      </c>
      <c r="B78" s="12">
        <v>1</v>
      </c>
      <c r="C78" s="19">
        <f>B78/B83</f>
        <v>6.7353674142924498E-5</v>
      </c>
      <c r="D78" s="11">
        <v>0.5</v>
      </c>
      <c r="E78">
        <f>D78/D83</f>
        <v>3.7098868484511225E-5</v>
      </c>
      <c r="F78" s="11">
        <f t="shared" si="1"/>
        <v>0.5</v>
      </c>
    </row>
    <row r="79" spans="1:6" x14ac:dyDescent="0.25">
      <c r="A79" s="4" t="s">
        <v>165</v>
      </c>
      <c r="B79" s="12">
        <v>1</v>
      </c>
      <c r="C79" s="19">
        <f>B79/B83</f>
        <v>6.7353674142924498E-5</v>
      </c>
      <c r="D79" s="11">
        <v>0.5</v>
      </c>
      <c r="E79">
        <f>D79/D83</f>
        <v>3.7098868484511225E-5</v>
      </c>
      <c r="F79" s="11">
        <f t="shared" si="1"/>
        <v>0.5</v>
      </c>
    </row>
    <row r="80" spans="1:6" x14ac:dyDescent="0.25">
      <c r="A80" s="4" t="s">
        <v>180</v>
      </c>
      <c r="B80" s="12">
        <v>1</v>
      </c>
      <c r="C80" s="19">
        <f>B80/B83</f>
        <v>6.7353674142924498E-5</v>
      </c>
      <c r="D80" s="11">
        <v>0.5</v>
      </c>
      <c r="E80">
        <f>D80/D83</f>
        <v>3.7098868484511225E-5</v>
      </c>
      <c r="F80" s="11">
        <f t="shared" si="1"/>
        <v>0.5</v>
      </c>
    </row>
    <row r="81" spans="1:6" x14ac:dyDescent="0.25">
      <c r="A81" s="4" t="s">
        <v>181</v>
      </c>
      <c r="B81" s="12">
        <v>1</v>
      </c>
      <c r="C81" s="19">
        <f>B81/B83</f>
        <v>6.7353674142924498E-5</v>
      </c>
      <c r="D81" s="11">
        <v>0.5</v>
      </c>
      <c r="E81">
        <f>D81/D83</f>
        <v>3.7098868484511225E-5</v>
      </c>
      <c r="F81" s="11">
        <f t="shared" si="1"/>
        <v>0.5</v>
      </c>
    </row>
    <row r="82" spans="1:6" x14ac:dyDescent="0.25">
      <c r="B82" s="12"/>
      <c r="C82" s="12"/>
      <c r="D82" s="11"/>
    </row>
    <row r="83" spans="1:6" x14ac:dyDescent="0.25">
      <c r="A83" s="5" t="s">
        <v>48</v>
      </c>
      <c r="B83" s="13">
        <f>SUM(B2:B81)</f>
        <v>14847</v>
      </c>
      <c r="C83" s="13"/>
      <c r="D83" s="14">
        <f>SUM(D2:D81)</f>
        <v>13477.5</v>
      </c>
      <c r="E83" s="16"/>
    </row>
    <row r="84" spans="1:6" x14ac:dyDescent="0.25">
      <c r="B84" s="10"/>
      <c r="C84" s="10"/>
      <c r="D84" s="10"/>
    </row>
  </sheetData>
  <sortState xmlns:xlrd2="http://schemas.microsoft.com/office/spreadsheetml/2017/richdata2" ref="A3:D85">
    <sortCondition descending="1" ref="B3:B85"/>
  </sortState>
  <conditionalFormatting sqref="B2:E8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{84F23EA5-4B0F-4B05-800F-6E3A964A9F46}</x14:id>
        </ext>
      </extLst>
    </cfRule>
  </conditionalFormatting>
  <conditionalFormatting sqref="W2:W8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{BCE05395-7FE0-47CE-A0FE-6180B212E4C3}</x14:id>
        </ext>
      </extLst>
    </cfRule>
  </conditionalFormatting>
  <pageMargins left="0.7" right="0.7" top="0.78740157499999996" bottom="0.78740157499999996" header="0.3" footer="0.3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F23EA5-4B0F-4B05-800F-6E3A964A9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B2:E81</xm:sqref>
        </x14:conditionalFormatting>
        <x14:conditionalFormatting xmlns:xm="http://schemas.microsoft.com/office/excel/2006/main">
          <x14:cfRule type="dataBar" id="{BCE05395-7FE0-47CE-A0FE-6180B212E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W2:W81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Meter Signatures</vt:lpstr>
      <vt:lpstr>Pitch Histograms</vt:lpstr>
      <vt:lpstr>Voice Distances</vt:lpstr>
      <vt:lpstr>Melodic Intervals</vt:lpstr>
      <vt:lpstr>Chords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Berndt</dc:creator>
  <cp:lastModifiedBy>Axel Berndt</cp:lastModifiedBy>
  <dcterms:created xsi:type="dcterms:W3CDTF">2026-09-09T06:18:40Z</dcterms:created>
  <dcterms:modified xsi:type="dcterms:W3CDTF">2026-10-26T07:48:33Z</dcterms:modified>
</cp:coreProperties>
</file>